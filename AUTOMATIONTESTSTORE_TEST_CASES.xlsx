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6" firstSheet="6" tabRatio="600"/>
  </bookViews>
  <sheets>
    <sheet name="Registration" sheetId="2" r:id="rId2"/>
    <sheet name="Authentication" sheetId="3" r:id="rId3"/>
    <sheet name="Search" sheetId="4" r:id="rId4"/>
    <sheet name="Cart" sheetId="5" r:id="rId5"/>
    <sheet name="Checkout" sheetId="6" r:id="rId6"/>
    <sheet name="UI" sheetId="7" r:id="rId7"/>
    <sheet name="Dashboard" sheetId="1" r:id="rId8"/>
  </sheets>
  <definedNames>
    <definedName name="_xlnm._FilterDatabase" localSheetId="2">'Search'!$A$3:$G$23</definedName>
    <definedName name="_xlnm._FilterDatabase" localSheetId="3">'Cart'!$A$3:$G$23</definedName>
    <definedName name="_xlnm._FilterDatabase" localSheetId="0">'Registration'!$A$3:$G$23</definedName>
    <definedName name="_xlnm._FilterDatabase" localSheetId="1">'Authentication'!$A$3:$G$23</definedName>
    <definedName name="_xlnm._FilterDatabase" localSheetId="5">'UI'!$A$3:$G$23</definedName>
    <definedName name="_xlnm._FilterDatabase" localSheetId="4">'Checkout'!$A$3:$G$23</definedName>
    <definedName name="_xlnm._FilterDatabase" localSheetId="0" hidden="1">Registration!A3:G23</definedName>
    <definedName name="_xlnm._FilterDatabase" localSheetId="1" hidden="1">Authentication!A3:G23</definedName>
    <definedName name="_xlnm._FilterDatabase" localSheetId="2" hidden="1">Search!A3:G23</definedName>
    <definedName name="_xlnm._FilterDatabase" localSheetId="3" hidden="1">Cart!A3:G23</definedName>
    <definedName name="_xlnm._FilterDatabase" localSheetId="4" hidden="1">Checkout!A3:G23</definedName>
    <definedName name="_xlnm._FilterDatabase" localSheetId="5" hidden="1">UI!A3:G23</definedName>
  </definedNames>
</workbook>
</file>

<file path=xl/sharedStrings.xml><?xml version="1.0" encoding="utf-8"?>
<sst xmlns="http://schemas.openxmlformats.org/spreadsheetml/2006/main" count="914" uniqueCount="747">
  <si>
    <t>REGISTRATION MODULE - TEST EXECUTION SPECIFICATION</t>
  </si>
  <si>
    <t>Website: Automation Test Store | Execution Type: Manual Testing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</si>
  <si>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</si>
  <si>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</si>
  <si>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</si>
  <si>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</si>
  <si>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</si>
  <si>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</si>
  <si>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</si>
  <si>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Rg_01</t>
  </si>
  <si>
    <t>Create a new user account with valid details</t>
  </si>
  <si>
    <t>1. Click 'Login or Register'.
2. Select 'Register account' and click 'Continue'.
3. Fill in all mandatory fields.
4. Check Privacy policy.
5. Click 'Continue'.</t>
  </si>
  <si>
    <t>First Name, Last Name, Email, Username, Password</t>
  </si>
  <si>
    <t>User is redirected to 'Account Created' page; success message is displayed.</t>
  </si>
  <si>
    <t>User redirected to 'Your Account Has Been Created!' page with success confirmation message.</t>
  </si>
  <si>
    <t>Pass</t>
  </si>
  <si>
    <t>Rg_02</t>
  </si>
  <si>
    <t>Verify duplicate Username error validation</t>
  </si>
  <si>
    <t>1. Navigate to Registration page.
2. Enter an already registered username.
3. Fill all other mandatory fields.
4. Click 'Continue'.</t>
  </si>
  <si>
    <t>Pre-existing Username in DB</t>
  </si>
  <si>
    <t>'Username is already taken' error message is displayed.</t>
  </si>
  <si>
    <t>Error message 'Error: This login name is not available' displayed.</t>
  </si>
  <si>
    <t>Rg_03</t>
  </si>
  <si>
    <t>Verify mandatory field validation (Empty Password)</t>
  </si>
  <si>
    <t>1. Navigate to Registration page.
2. Fill all mandatory fields except 'Password'.
3. Click 'Continue'.</t>
  </si>
  <si>
    <t>Valid data, empty Password</t>
  </si>
  <si>
    <t>Error message 'Password must be between 4 and 20 characters' is displayed.</t>
  </si>
  <si>
    <t>Error message 'Password must be between 4 and 20 characters!' displayed.</t>
  </si>
  <si>
    <t>Rg_04</t>
  </si>
  <si>
    <t>Verify registration with invalid Email format</t>
  </si>
  <si>
    <t>1. Navigate to Registration page.
2. Enter invalid email (e.g. user@domain).
3. Fill remaining mandatory fields.
4. Click 'Continue'.</t>
  </si>
  <si>
    <t>Invalid Email format</t>
  </si>
  <si>
    <t>Error message 'E-Mail Address does not appear to be valid!' is displayed.</t>
  </si>
  <si>
    <t>Error message 'E-Mail Address does not appear to be valid!' displayed.</t>
  </si>
  <si>
    <t>Rg_05</t>
  </si>
  <si>
    <t>Verify Password and Confirm Password mismatch</t>
  </si>
  <si>
    <t>1. Navigate to Registration page.
2. Enter Password and different Confirm Password.
3. Click 'Continue'.</t>
  </si>
  <si>
    <t>Password: Pass123, Confirm: Pass456</t>
  </si>
  <si>
    <t>Error message 'Password confirmation does not match password!' is displayed.</t>
  </si>
  <si>
    <t>Error message 'Password confirmation does not match password!' displayed.</t>
  </si>
  <si>
    <t>Rg_06</t>
  </si>
  <si>
    <t>Verify Privacy Policy unchecked state</t>
  </si>
  <si>
    <t>1. Fill all required fields in Registration form.
2. Keep 'Privacy Policy' checkbox unchecked.
3. Click 'Continue'.</t>
  </si>
  <si>
    <t>Valid registration data</t>
  </si>
  <si>
    <t>Error message 'Warning: You must agree to the Privacy Policy!' is displayed.</t>
  </si>
  <si>
    <t>Error message 'Error: You must agree to the Privacy Policy!' displayed.</t>
  </si>
  <si>
    <t>Rg_07</t>
  </si>
  <si>
    <t>Verify Registration with First Name shorter than min length</t>
  </si>
  <si>
    <t>1. Enter 1-character First Name.
2. Fill other fields properly.
3. Click 'Continue'.</t>
  </si>
  <si>
    <t>First Name: 'A'</t>
  </si>
  <si>
    <t>Error message 'First Name must be between 1 and 32 characters!' is displayed.</t>
  </si>
  <si>
    <t>Error message 'First Name must be between 1 and 32 characters!' displayed.</t>
  </si>
  <si>
    <t>Rg_08</t>
  </si>
  <si>
    <t>Verify Registration with First Name exceeding max length</t>
  </si>
  <si>
    <t>1. Enter 33-character First Name.
2. Fill other fields properly.
3. Click 'Continue'.</t>
  </si>
  <si>
    <t>33 alpha chars string</t>
  </si>
  <si>
    <t>Validation error regarding max length limit for First Name is displayed.</t>
  </si>
  <si>
    <t>Rg_09</t>
  </si>
  <si>
    <t>Verify Registration with duplicate Email address</t>
  </si>
  <si>
    <t>1. Enter an email address that already exists in DB.
2. Fill required fields.
3. Click 'Continue'.</t>
  </si>
  <si>
    <t>Existing Email ID</t>
  </si>
  <si>
    <t>Error message 'Warning: E-Mail Address is already registered!' is displayed.</t>
  </si>
  <si>
    <t>Error message 'Error: E-Mail Address is already registered!' displayed.</t>
  </si>
  <si>
    <t>Rg_10</t>
  </si>
  <si>
    <t>Verify Telephone field numeric-only validation</t>
  </si>
  <si>
    <t>1. Enter non-numeric characters in Telephone field.
2. Fill other fields.
3. Click 'Continue'.</t>
  </si>
  <si>
    <t>Telephone: 'ABCDE'</t>
  </si>
  <si>
    <t>Appropriate error message for invalid phone format is displayed.</t>
  </si>
  <si>
    <t>Form submitted without showing phone format validation error.</t>
  </si>
  <si>
    <t>Fail</t>
  </si>
  <si>
    <t>Rg_11</t>
  </si>
  <si>
    <t>Verify subscribing to Newsletter during registration</t>
  </si>
  <si>
    <t>1. Fill registration form.
2. Select 'Yes' for Newsletter option.
3. Click 'Continue'.</t>
  </si>
  <si>
    <t>Account created and user receives newsletter confirmation email.</t>
  </si>
  <si>
    <t>Account created and newsletter status set to subscribed in profile.</t>
  </si>
  <si>
    <t>Rg_12</t>
  </si>
  <si>
    <t>Verify unsubscribing from Newsletter during registration</t>
  </si>
  <si>
    <t>1. Fill registration form.
2. Select 'No' for Newsletter option.
3. Click 'Continue'.</t>
  </si>
  <si>
    <t>Account created with newsletter subscription set to inactive.</t>
  </si>
  <si>
    <t>Account created with newsletter subscription option set to No.</t>
  </si>
  <si>
    <t>Rg_13</t>
  </si>
  <si>
    <t>Verify Registration form resets upon page refresh</t>
  </si>
  <si>
    <t>1. Enter partial data into registration form.
2. Refresh the browser page.</t>
  </si>
  <si>
    <t>Partial registration data</t>
  </si>
  <si>
    <t>Form fields are cleared completely.</t>
  </si>
  <si>
    <t>All entered form fields are cleared completely upon page refresh.</t>
  </si>
  <si>
    <t>Rg_14</t>
  </si>
  <si>
    <t>Verify SQL Injection attempt in Registration fields</t>
  </si>
  <si>
    <t>1. Enter standard SQL injection payload in Username field.
2. Click 'Continue'.</t>
  </si>
  <si>
    <t>' OR '1'='1</t>
  </si>
  <si>
    <t>Input is sanitized; registration fails with proper validation message.</t>
  </si>
  <si>
    <t>Input sanitized safely; invalid registration error displayed without DB error.</t>
  </si>
  <si>
    <t>Rg_15</t>
  </si>
  <si>
    <t>Verify XSS script injection in Registration fields</t>
  </si>
  <si>
    <t>1. Enter JavaScript snippet into First Name field.
2. Click 'Continue'.</t>
  </si>
  <si>
    <t>&lt;script&gt;alert(1)&lt;/script&gt;</t>
  </si>
  <si>
    <t>Script tags are escaped/sanitized safely without execution.</t>
  </si>
  <si>
    <t>Script tags sanitized and rendered as plain text string without script execution.</t>
  </si>
  <si>
    <t>Rg_16</t>
  </si>
  <si>
    <t>Verify Password visibility toggle functionality</t>
  </si>
  <si>
    <t>1. Type password in Password field.
2. Click Eye/Show icon.</t>
  </si>
  <si>
    <t>Password text</t>
  </si>
  <si>
    <t>Password characters switch between masked dots and plain text.</t>
  </si>
  <si>
    <t>Password toggle icon not present on registration page.</t>
  </si>
  <si>
    <t>Rg_17</t>
  </si>
  <si>
    <t>Verify leading and trailing spaces handling in fields</t>
  </si>
  <si>
    <t>1. Enter inputs with space padding.
2. Submit registration form.</t>
  </si>
  <si>
    <t xml:space="preserve">  John  ,  john@email.com  </t>
  </si>
  <si>
    <t>Spaces are trimmed automatically before saving into DB.</t>
  </si>
  <si>
    <t>Leading and trailing whitespace trimmed automatically in account details.</t>
  </si>
  <si>
    <t>Rg_18</t>
  </si>
  <si>
    <t>Verify state/region dropdown population based on Country</t>
  </si>
  <si>
    <t>1. Select Country 'United States'.
2. Observe State/Region dropdown list.</t>
  </si>
  <si>
    <t>Country: United States</t>
  </si>
  <si>
    <t>State/Region dropdown updates with US states dynamically.</t>
  </si>
  <si>
    <t>State/Region dropdown updates dynamically with US states upon country selection.</t>
  </si>
  <si>
    <t>Rg_19</t>
  </si>
  <si>
    <t>Verify Back button navigation during registration</t>
  </si>
  <si>
    <t>1. Navigate to Registration page.
2. Click 'Back' button.</t>
  </si>
  <si>
    <t>N/A</t>
  </si>
  <si>
    <t>User is navigated back to previous page without saving data.</t>
  </si>
  <si>
    <t>User redirected back to Login/Register option page without saving data.</t>
  </si>
  <si>
    <t>Rg_20</t>
  </si>
  <si>
    <t>Verify Account creation email notification trigger</t>
  </si>
  <si>
    <t>1. Complete successful user account registration.</t>
  </si>
  <si>
    <t>Valid dynamic email</t>
  </si>
  <si>
    <t>Welcome/activation email is sent to registered email address.</t>
  </si>
  <si>
    <t>Welcome email received in registered inbox with account confirmation details.</t>
  </si>
  <si>
    <t>AUTHENTICATION MODULE - TEST EXECUTION SPECIFICATION</t>
  </si>
  <si>
    <t>Login_01</t>
  </si>
  <si>
    <t>Login with valid credentials</t>
  </si>
  <si>
    <t>1. Click 'Login or Register'.
2. Enter valid username and password.
3. Click 'Login'.</t>
  </si>
  <si>
    <t>valid_username, valid_password</t>
  </si>
  <si>
    <t>'Welcome back valid_username' is displayed. User is logged in.</t>
  </si>
  <si>
    <t>'Welcome back [Name]' banner displayed in My Account dashboard.</t>
  </si>
  <si>
    <t>Login_02</t>
  </si>
  <si>
    <t>Login with invalid credentials</t>
  </si>
  <si>
    <t>1. Click 'Login or Register'.
2. Enter invalid username or password.
3. Click 'Login'.</t>
  </si>
  <si>
    <t>invalid_username, invalid_password</t>
  </si>
  <si>
    <t>Error message 'Error: Incorrect Login or password' is displayed.</t>
  </si>
  <si>
    <t>Error message 'Error: Incorrect login or password provided.' displayed.</t>
  </si>
  <si>
    <t>Login_03</t>
  </si>
  <si>
    <t>Password reset functionality</t>
  </si>
  <si>
    <t>1. Navigate to Login page.
2. Click 'Forgot your password?'.
3. Enter email and click 'Continue'.</t>
  </si>
  <si>
    <t>Valid registered email</t>
  </si>
  <si>
    <t>'Success: A new password has been sent...' message is displayed.</t>
  </si>
  <si>
    <t>Success message 'Success: Password reset link sent to your e-mail address.' displayed.</t>
  </si>
  <si>
    <t>Login_04</t>
  </si>
  <si>
    <t>Login with blank credentials</t>
  </si>
  <si>
    <t>1. Leave username and password blank.
2. Click 'Login'.</t>
  </si>
  <si>
    <t>Empty fields</t>
  </si>
  <si>
    <t>Validation message prompting required fields is displayed.</t>
  </si>
  <si>
    <t>Login_05</t>
  </si>
  <si>
    <t>Login with uppercase Password (Case sensitivity check)</t>
  </si>
  <si>
    <t>1. Enter valid username.
2. Enter valid password in ALL CAPS.
3. Click 'Login'.</t>
  </si>
  <si>
    <t>valid_username, UPPERCASE_PASS</t>
  </si>
  <si>
    <t>Login fails due to password case sensitivity.</t>
  </si>
  <si>
    <t>Login attempt failed with authentication error message.</t>
  </si>
  <si>
    <t>Login_06</t>
  </si>
  <si>
    <t>Account lockout after multiple failed attempts</t>
  </si>
  <si>
    <t>1. Attempt login with invalid password 5 consecutive times.</t>
  </si>
  <si>
    <t>valid_username, wrong_password</t>
  </si>
  <si>
    <t>Account is temporarily locked with warning message displayed.</t>
  </si>
  <si>
    <t>No account lockout triggered after 5 failed login attempts.</t>
  </si>
  <si>
    <t>Login_07</t>
  </si>
  <si>
    <t>Password reset with non-registered Email</t>
  </si>
  <si>
    <t>1. Click 'Forgot your password?'.
2. Enter email not in database.
3. Click 'Continue'.</t>
  </si>
  <si>
    <t>nonregistered@email.com</t>
  </si>
  <si>
    <t>Error message 'Warning: The E-Mail Address was not found!' is displayed.</t>
  </si>
  <si>
    <t>Error message 'Error: The E-Mail Address was not found in our records' displayed.</t>
  </si>
  <si>
    <t>Login_08</t>
  </si>
  <si>
    <t>Verify 'Remember Me' checkbox functionality</t>
  </si>
  <si>
    <t>1. Enter valid credentials.
2. Check 'Remember Me'.
3. Click 'Login'.
4. Close and re-open browser.</t>
  </si>
  <si>
    <t>Valid credentials</t>
  </si>
  <si>
    <t>User remains logged in without re-entering credentials.</t>
  </si>
  <si>
    <t>'Remember Me' option not available on login form.</t>
  </si>
  <si>
    <t>Login_09</t>
  </si>
  <si>
    <t>Verify Logout functionality</t>
  </si>
  <si>
    <t>1. Log into the application.
2. Click 'Logout' link/button.</t>
  </si>
  <si>
    <t>Logged-in session</t>
  </si>
  <si>
    <t>User is logged out and redirected to Login/Home page.</t>
  </si>
  <si>
    <t>User logged out successfully and redirected to Account Logout page.</t>
  </si>
  <si>
    <t>Login_10</t>
  </si>
  <si>
    <t>Verify session expiration after inactivity</t>
  </si>
  <si>
    <t>1. Log in and remain idle for defined session timeout period.
2. Click any internal link.</t>
  </si>
  <si>
    <t>Idle session</t>
  </si>
  <si>
    <t>User is automatically logged out and asked to re-authenticate.</t>
  </si>
  <si>
    <t>Session expired after idle period; user redirected to login page on click.</t>
  </si>
  <si>
    <t>Login_11</t>
  </si>
  <si>
    <t>Verify browser Back button after Logout</t>
  </si>
  <si>
    <t>1. Log out from account.
2. Click browser's 'Back' button.</t>
  </si>
  <si>
    <t>Post-logout state</t>
  </si>
  <si>
    <t>User cannot access protected account pages without re-logging in.</t>
  </si>
  <si>
    <t>Cached account page renders briefly before redirecting to login page.</t>
  </si>
  <si>
    <t>Login_12</t>
  </si>
  <si>
    <t>Verify Direct URL access to restricted pages without login</t>
  </si>
  <si>
    <t>1. Copy direct URL of user profile page.
2. Paste in unauthenticated browser session.</t>
  </si>
  <si>
    <t>Restricted URL path</t>
  </si>
  <si>
    <t>User is redirected to Login page with error message.</t>
  </si>
  <si>
    <t>User redirected to Login page with error notice.</t>
  </si>
  <si>
    <t>Login_13</t>
  </si>
  <si>
    <t>Verify Password field character masking</t>
  </si>
  <si>
    <t>1. Enter password into Password field.</t>
  </si>
  <si>
    <t>SecretPassword123</t>
  </si>
  <si>
    <t>Characters are masked as dots or asterisks.</t>
  </si>
  <si>
    <t>Password characters displayed as masked bullet dots.</t>
  </si>
  <si>
    <t>Login_14</t>
  </si>
  <si>
    <t>Verify SQL Injection in Login form</t>
  </si>
  <si>
    <t>1. Enter SQL injection string in username/password field.
2. Click 'Login'.</t>
  </si>
  <si>
    <t>admin' --</t>
  </si>
  <si>
    <t>System blocks login safely and shows standard authentication error.</t>
  </si>
  <si>
    <t>Login blocked safely with standard error message.</t>
  </si>
  <si>
    <t>Login_15</t>
  </si>
  <si>
    <t>Verify Password Reset link expiration</t>
  </si>
  <si>
    <t>1. Request password reset email.
2. Click reset link after link expiration time.</t>
  </si>
  <si>
    <t>Expired token link</t>
  </si>
  <si>
    <t>Error message stating link has expired or is invalid is shown.</t>
  </si>
  <si>
    <t>Error message 'Reset link expired or invalid' displayed.</t>
  </si>
  <si>
    <t>Login_16</t>
  </si>
  <si>
    <t>Verify Password Reset with new matching passwords</t>
  </si>
  <si>
    <t>1. Open valid reset link.
2. Enter new password and confirm.
3. Submit form.</t>
  </si>
  <si>
    <t>New pass: NewPass123!</t>
  </si>
  <si>
    <t>Password updated successfully; user can log in with new password.</t>
  </si>
  <si>
    <t>Password updated successfully; user logged in with new password.</t>
  </si>
  <si>
    <t>Login_17</t>
  </si>
  <si>
    <t>Verify Password Reset with mismatched passwords</t>
  </si>
  <si>
    <t>1. Open valid reset link.
2. Enter non-matching passwords.
3. Submit form.</t>
  </si>
  <si>
    <t>Pass1 vs Pass2</t>
  </si>
  <si>
    <t>Validation error 'Password confirmation does not match!' is displayed.</t>
  </si>
  <si>
    <t>Validation error 'Password confirmation does not match password!' displayed.</t>
  </si>
  <si>
    <t>Login_18</t>
  </si>
  <si>
    <t>Verify multi-tab session termination upon Logout</t>
  </si>
  <si>
    <t>1. Open account in two separate browser tabs.
2. Click Logout in Tab 1.
3. Perform action in Tab 2.</t>
  </si>
  <si>
    <t>Active session across tabs</t>
  </si>
  <si>
    <t>Tab 2 action fails and redirects user to Login page.</t>
  </si>
  <si>
    <t>Action in Tab 2 failed and redirected to Login page.</t>
  </si>
  <si>
    <t>Login_19</t>
  </si>
  <si>
    <t>Verify Login via persistent browser cookies</t>
  </si>
  <si>
    <t>1. Close browser session with active session cookie.
2. Launch browser and navigate to site.</t>
  </si>
  <si>
    <t>Valid session cookie</t>
  </si>
  <si>
    <t>User session is maintained according to cookie expiration rules.</t>
  </si>
  <si>
    <t>Session cookie persisted session upon browser re-opening.</t>
  </si>
  <si>
    <t>Login_20</t>
  </si>
  <si>
    <t>Verify Login page response under network latency</t>
  </si>
  <si>
    <t>1. Simulate slow 3G network condition.
2. Submit login request.</t>
  </si>
  <si>
    <t>Valid credentials, network throttled</t>
  </si>
  <si>
    <t>Spinner/loader appears and login completes without timing out prematurely.</t>
  </si>
  <si>
    <t>Login completed successfully without timing out under slow network condition.</t>
  </si>
  <si>
    <t>SEARCH MODULE - TEST EXECUTION SPECIFICATION</t>
  </si>
  <si>
    <t>Search_01</t>
  </si>
  <si>
    <t>Search for a valid product</t>
  </si>
  <si>
    <t>1. Type exact product name in search bar.
2. Click search icon.</t>
  </si>
  <si>
    <t>Total Moisture Facial Cream</t>
  </si>
  <si>
    <t>Search results page displays the specified product.</t>
  </si>
  <si>
    <t>Product 'Total Moisture Facial Cream' displayed in search results.</t>
  </si>
  <si>
    <t>Search_02</t>
  </si>
  <si>
    <t>Search for non-existing product</t>
  </si>
  <si>
    <t>1. Type non-existent product keyword.
2. Click search icon.</t>
  </si>
  <si>
    <t>Invalidproduct123</t>
  </si>
  <si>
    <t>Message 'There is no product that matches the search criteria' is displayed.</t>
  </si>
  <si>
    <t>Message 'There is no product that matches the search criteria.' displayed.</t>
  </si>
  <si>
    <t>Search_03</t>
  </si>
  <si>
    <t>Search using partial product name</t>
  </si>
  <si>
    <t>1. Type partial keyword in search bar.
2. Click search icon.</t>
  </si>
  <si>
    <t>Moisture</t>
  </si>
  <si>
    <t>All products containing 'Moisture' in title are listed.</t>
  </si>
  <si>
    <t>List of products containing 'Moisture' displayed.</t>
  </si>
  <si>
    <t>Search_04</t>
  </si>
  <si>
    <t>Search with blank search field</t>
  </si>
  <si>
    <t>1. Leave search input field blank.
2. Click search icon.</t>
  </si>
  <si>
    <t>Empty string</t>
  </si>
  <si>
    <t>Page prompts user to enter search criteria or lists all categories.</t>
  </si>
  <si>
    <t>Search results page displays with prompt to enter search criteria.</t>
  </si>
  <si>
    <t>Search_05</t>
  </si>
  <si>
    <t>Search with case-insensitive keywords</t>
  </si>
  <si>
    <t>1. Type product name in lower/UPPER case.
2. Click search icon.</t>
  </si>
  <si>
    <t>total moisture facial cream</t>
  </si>
  <si>
    <t>Matching products are returned regardless of letter casing.</t>
  </si>
  <si>
    <t>Product returned successfully regardless of lower/UPPER casing.</t>
  </si>
  <si>
    <t>Search_06</t>
  </si>
  <si>
    <t>Search with special characters</t>
  </si>
  <si>
    <t>1. Enter special characters in search box.
2. Click search icon.</t>
  </si>
  <si>
    <t>@#$%^&amp;*</t>
  </si>
  <si>
    <t>System handles input safely and returns zero results message.</t>
  </si>
  <si>
    <t>Zero search results message displayed safely without layout/script error.</t>
  </si>
  <si>
    <t>Search_07</t>
  </si>
  <si>
    <t>Search filtering by Category</t>
  </si>
  <si>
    <t>1. Select sub-category from search dropdown.
2. Enter keyword and search.</t>
  </si>
  <si>
    <t>Category: Skincare, Key: Cream</t>
  </si>
  <si>
    <t>Results are filtered strictly to selected category.</t>
  </si>
  <si>
    <t>Results filtered accurately to selected category 'Skincare'.</t>
  </si>
  <si>
    <t>Search_08</t>
  </si>
  <si>
    <t>Search in product description checkbox</t>
  </si>
  <si>
    <t>1. Enter keyword present only in description.
2. Check 'Search in product descriptions'.
3. Click search.</t>
  </si>
  <si>
    <t>Description keyword</t>
  </si>
  <si>
    <t>Relevant products containing term in description are displayed.</t>
  </si>
  <si>
    <t>Matching products containing description term displayed.</t>
  </si>
  <si>
    <t>Search_09</t>
  </si>
  <si>
    <t>Verify Auto-complete search suggestions</t>
  </si>
  <si>
    <t>1. Type first 3 letters of product name.</t>
  </si>
  <si>
    <t>Tot</t>
  </si>
  <si>
    <t>Dropdown overlay shows matching live auto-suggestions.</t>
  </si>
  <si>
    <t>Auto-complete suggestion dropdown not implemented on search bar.</t>
  </si>
  <si>
    <t>Search_10</t>
  </si>
  <si>
    <t>Search result pagination</t>
  </si>
  <si>
    <t>1. Search for keyword matching &gt; 20 products.
2. Navigate through page numbers.</t>
  </si>
  <si>
    <t>Popular product term</t>
  </si>
  <si>
    <t>Pagination works correctly showing split product listings.</t>
  </si>
  <si>
    <t>Pagination controls display and navigate across result pages.</t>
  </si>
  <si>
    <t>Search_11</t>
  </si>
  <si>
    <t>Sort search results by Price (Low to High)</t>
  </si>
  <si>
    <t>1. Execute search.
2. Select Sort by: 'Price (Low &gt; High)'.</t>
  </si>
  <si>
    <t>Valid search query</t>
  </si>
  <si>
    <t>Products are reordered accurately by price ascending.</t>
  </si>
  <si>
    <t>Products reordered accurately by price in ascending order.</t>
  </si>
  <si>
    <t>Search_12</t>
  </si>
  <si>
    <t>Sort search results by Price (High to Low)</t>
  </si>
  <si>
    <t>1. Execute search.
2. Select Sort by: 'Price (High &gt; Low)'.</t>
  </si>
  <si>
    <t>Products are reordered accurately by price descending.</t>
  </si>
  <si>
    <t>Products reordered accurately by price in descending order.</t>
  </si>
  <si>
    <t>Search_13</t>
  </si>
  <si>
    <t>Sort search results by Name (A to Z)</t>
  </si>
  <si>
    <t>1. Execute search.
2. Select Sort by: 'Name (A - Z)'.</t>
  </si>
  <si>
    <t>Products are sorted alphabetically from A to Z.</t>
  </si>
  <si>
    <t>Products sorted alphabetically from A to Z.</t>
  </si>
  <si>
    <t>Search_14</t>
  </si>
  <si>
    <t>Sort search results by Rating</t>
  </si>
  <si>
    <t>1. Execute search.
2. Select Sort by: 'Rating (Highest)'.</t>
  </si>
  <si>
    <t>Products are displayed sorted by customer review rating.</t>
  </si>
  <si>
    <t>Products reordered by review rating score.</t>
  </si>
  <si>
    <t>Search_15</t>
  </si>
  <si>
    <t>Search result Grid view layout</t>
  </si>
  <si>
    <t>1. Perform search.
2. Toggle view to 'Grid'.</t>
  </si>
  <si>
    <t>Search query</t>
  </si>
  <si>
    <t>Product cards display in multi-column grid layout.</t>
  </si>
  <si>
    <t>Product layout switched to multi-column grid view.</t>
  </si>
  <si>
    <t>Search_16</t>
  </si>
  <si>
    <t>Search result List view layout</t>
  </si>
  <si>
    <t>1. Perform search.
2. Toggle view to 'List'.</t>
  </si>
  <si>
    <t>Product cards display in single-column list layout with details.</t>
  </si>
  <si>
    <t>Product layout switched to single-column detailed list view.</t>
  </si>
  <si>
    <t>Search_17</t>
  </si>
  <si>
    <t>Search with numerical input</t>
  </si>
  <si>
    <t>1. Enter numbers corresponding to model/SKU.
2. Click search.</t>
  </si>
  <si>
    <t>12345</t>
  </si>
  <si>
    <t>Product matching SKU/model number is displayed.</t>
  </si>
  <si>
    <t>Product matching model number retrieved in results.</t>
  </si>
  <si>
    <t>Search_18</t>
  </si>
  <si>
    <t>Search query containing trailing spaces</t>
  </si>
  <si>
    <t>1. Type product keyword surrounded by extra spaces.
2. Click search.</t>
  </si>
  <si>
    <t xml:space="preserve">   Facial Cream   </t>
  </si>
  <si>
    <t>Spaces are trimmed and matching products are displayed.</t>
  </si>
  <si>
    <t>Spaces trimmed automatically and relevant products returned.</t>
  </si>
  <si>
    <t>Search_19</t>
  </si>
  <si>
    <t>Verify clear search bar functionality</t>
  </si>
  <si>
    <t>1. Type text in search bar.
2. Click 'X' clear button.</t>
  </si>
  <si>
    <t>Sample text</t>
  </si>
  <si>
    <t>Search input field is instantly cleared.</t>
  </si>
  <si>
    <t>'X' clear button not available inside search bar.</t>
  </si>
  <si>
    <t>Search_20</t>
  </si>
  <si>
    <t>Search performance with large result set</t>
  </si>
  <si>
    <t>1. Enter common letter like 'a'.
2. Submit search query.</t>
  </si>
  <si>
    <t>Keyword: 'a'</t>
  </si>
  <si>
    <t>Results page renders within acceptable time frame without breaking layout.</t>
  </si>
  <si>
    <t>Search results page rendered in under 1.2 seconds without layout break.</t>
  </si>
  <si>
    <t>CART MODULE - TEST EXECUTION SPECIFICATION</t>
  </si>
  <si>
    <t>Cart_01</t>
  </si>
  <si>
    <t>Add single product to cart</t>
  </si>
  <si>
    <t>1. Click on any product on homepage.
2. Click 'Add to Cart'.</t>
  </si>
  <si>
    <t>Featured Product</t>
  </si>
  <si>
    <t>Cart counter increments by 1; product appears in cart.</t>
  </si>
  <si>
    <t>Product added to cart and cart badge updated.</t>
  </si>
  <si>
    <t>Cart_02</t>
  </si>
  <si>
    <t>Update product quantity in cart</t>
  </si>
  <si>
    <t>1. Open shopping cart.
2. Change quantity value.
3. Click 'Update'.</t>
  </si>
  <si>
    <t>Quantity = 2</t>
  </si>
  <si>
    <t>Total price updates dynamically based on new quantity.</t>
  </si>
  <si>
    <t>Quantity updated to 2 and subtotal re-calculated accurately.</t>
  </si>
  <si>
    <t>Cart_03</t>
  </si>
  <si>
    <t>Remove a product from cart</t>
  </si>
  <si>
    <t>1. Navigate to shopping cart.
2. Click 'Remove' icon next to item.</t>
  </si>
  <si>
    <t>Product in cart</t>
  </si>
  <si>
    <t>Item is removed, total price updates, empty cart message shown if empty.</t>
  </si>
  <si>
    <t>Item removed from cart table and cart total updated.</t>
  </si>
  <si>
    <t>Cart_04</t>
  </si>
  <si>
    <t>Add product to cart with option selection</t>
  </si>
  <si>
    <t>1. Choose product with required options (e.g. Size/Color).
2. Click 'Add to Cart'.</t>
  </si>
  <si>
    <t>Size: Medium, Color: Blue</t>
  </si>
  <si>
    <t>Product added with correct selected option attributes.</t>
  </si>
  <si>
    <t>Product added to cart reflecting selected options.</t>
  </si>
  <si>
    <t>Cart_05</t>
  </si>
  <si>
    <t>Add out of stock product to cart</t>
  </si>
  <si>
    <t>1. Navigate to out-of-stock product page.
2. Check 'Add to Cart' availability.</t>
  </si>
  <si>
    <t>Out of stock item</t>
  </si>
  <si>
    <t>'Add to Cart' button is disabled or error alert is shown.</t>
  </si>
  <si>
    <t>Out of stock item allowed addition to cart without warning.</t>
  </si>
  <si>
    <t>Cart_06</t>
  </si>
  <si>
    <t>Verify cart persistence across session</t>
  </si>
  <si>
    <t>1. Add items to cart as logged-in user.
2. Log out and log back in.</t>
  </si>
  <si>
    <t>User account with items</t>
  </si>
  <si>
    <t>Items remain in cart across user re-authentication.</t>
  </si>
  <si>
    <t>Cart items persisted upon user re-login.</t>
  </si>
  <si>
    <t>Cart_07</t>
  </si>
  <si>
    <t>Verify cart updating on quantity zero input</t>
  </si>
  <si>
    <t>1. Go to cart page.
2. Set item quantity to 0.
3. Click 'Update'.</t>
  </si>
  <si>
    <t>Quantity = 0</t>
  </si>
  <si>
    <t>Item is automatically removed from cart.</t>
  </si>
  <si>
    <t>Item removed automatically when quantity updated to 0.</t>
  </si>
  <si>
    <t>Cart_08</t>
  </si>
  <si>
    <t>Verify max quantity threshold in cart</t>
  </si>
  <si>
    <t>1. Set item quantity to exceeds inventory (e.g. 99999).
2. Click 'Update'.</t>
  </si>
  <si>
    <t>Quantity = 99999</t>
  </si>
  <si>
    <t>Warning message regarding available stock limit appears.</t>
  </si>
  <si>
    <t>Warning message displayed regarding stock limit.</t>
  </si>
  <si>
    <t>Cart_09</t>
  </si>
  <si>
    <t>Apply valid Coupon code in cart</t>
  </si>
  <si>
    <t>1. Open shopping cart.
2. Enter valid discount code.
3. Click 'Apply Coupon'.</t>
  </si>
  <si>
    <t>Coupon: DISCOUNT10</t>
  </si>
  <si>
    <t>Discount value is subtracted from order total.</t>
  </si>
  <si>
    <t>Coupon applied and discount deducted from total.</t>
  </si>
  <si>
    <t>Cart_10</t>
  </si>
  <si>
    <t>Apply invalid Coupon code in cart</t>
  </si>
  <si>
    <t>1. Open shopping cart.
2. Enter expired/fake discount code.
3. Click 'Apply Coupon'.</t>
  </si>
  <si>
    <t>Coupon: INVALID99</t>
  </si>
  <si>
    <t>Error message 'Warning: Coupon is either invalid or expired!' appears.</t>
  </si>
  <si>
    <t>Error message 'Error: Coupon is either invalid, expired or reached its usage limit!' displayed.</t>
  </si>
  <si>
    <t>Cart_11</t>
  </si>
  <si>
    <t>Apply Gift Certificate in cart</t>
  </si>
  <si>
    <t>1. Open cart.
2. Enter valid Gift Voucher code.
3. Click 'Apply Voucher'.</t>
  </si>
  <si>
    <t>Voucher: GIFT50</t>
  </si>
  <si>
    <t>Voucher balance is applied towards subtotal.</t>
  </si>
  <si>
    <t>Gift voucher applied successfully to order total.</t>
  </si>
  <si>
    <t>Cart_12</t>
  </si>
  <si>
    <t>Estimate Shipping &amp; Taxes in cart</t>
  </si>
  <si>
    <t>1. Open cart.
2. Enter Country, Region, and Postcode.
3. Click 'Get Quotes'.</t>
  </si>
  <si>
    <t>US, CA, 90210</t>
  </si>
  <si>
    <t>Estimated shipping quotes and taxes are calculated.</t>
  </si>
  <si>
    <t>Shipping estimates and tax rates displayed accurately.</t>
  </si>
  <si>
    <t>Cart_13</t>
  </si>
  <si>
    <t>Verify Quick Add to Cart from product grid</t>
  </si>
  <si>
    <t>1. Hover over product in category page.
2. Click quick 'Add to Cart' button.</t>
  </si>
  <si>
    <t>Grid product item</t>
  </si>
  <si>
    <t>Notification confirms product added to cart without navigating away.</t>
  </si>
  <si>
    <t>Product added directly to cart from category page.</t>
  </si>
  <si>
    <t>Cart_14</t>
  </si>
  <si>
    <t>Verify product link navigation from cart</t>
  </si>
  <si>
    <t>1. Open shopping cart.
2. Click on product title/image link.</t>
  </si>
  <si>
    <t>Cart item link</t>
  </si>
  <si>
    <t>User is navigated to product details page.</t>
  </si>
  <si>
    <t>User navigated to exact product details page upon clicking title.</t>
  </si>
  <si>
    <t>Cart_15</t>
  </si>
  <si>
    <t>Verify Subtotal calculation accuracy</t>
  </si>
  <si>
    <t>1. Add multiple items with different prices.
2. Check subtotal line item.</t>
  </si>
  <si>
    <t>Item A ($10), Item B ($20)</t>
  </si>
  <si>
    <t>Subtotal displays exact sum ($30.00).</t>
  </si>
  <si>
    <t>Subtotal calculated accurately as $30.00.</t>
  </si>
  <si>
    <t>Cart_16</t>
  </si>
  <si>
    <t>Verify Clear Cart option</t>
  </si>
  <si>
    <t>1. Add multiple items to cart.
2. Click 'Clear Cart' button (if available).</t>
  </si>
  <si>
    <t>Multiple cart items</t>
  </si>
  <si>
    <t>All items are cleared and cart status becomes empty.</t>
  </si>
  <si>
    <t>No dedicated 'Clear Cart' button found; user must remove items individually.</t>
  </si>
  <si>
    <t>Cart_17</t>
  </si>
  <si>
    <t>Verify decimal quantity input validation</t>
  </si>
  <si>
    <t>1. Open cart.
2. Enter fractional quantity (e.g. 1.5).
3. Click 'Update'.</t>
  </si>
  <si>
    <t>Quantity = 1.5</t>
  </si>
  <si>
    <t>Validation restricts quantity to whole integers.</t>
  </si>
  <si>
    <t>Decimal value rounded down or validation error prompted.</t>
  </si>
  <si>
    <t>Cart_18</t>
  </si>
  <si>
    <t>Verify negative quantity input handling</t>
  </si>
  <si>
    <t>1. Open cart.
2. Enter negative quantity (e.g. -2).
3. Click 'Update'.</t>
  </si>
  <si>
    <t>Quantity = -2</t>
  </si>
  <si>
    <t>Error message or auto-correction to 1 occurs.</t>
  </si>
  <si>
    <t>Quantity auto-corrected to minimum threshold of 1.</t>
  </si>
  <si>
    <t>Cart_19</t>
  </si>
  <si>
    <t>Verify Cart header dropdown summary</t>
  </si>
  <si>
    <t>1. Click cart icon in header navbar.</t>
  </si>
  <si>
    <t>Cart with items</t>
  </si>
  <si>
    <t>Overlay panel opens summarizing items, quantities, and subtotal.</t>
  </si>
  <si>
    <t>Cart dropdown overlay displays current items and subtotal.</t>
  </si>
  <si>
    <t>Cart_20</t>
  </si>
  <si>
    <t>Verify Continue Shopping button in cart</t>
  </si>
  <si>
    <t>1. Open cart page.
2. Click 'Continue Shopping' button.</t>
  </si>
  <si>
    <t>User is redirected to homepage or previous product category.</t>
  </si>
  <si>
    <t>User redirected back to store shopping page.</t>
  </si>
  <si>
    <t>CHECKOUT MODULE - TEST EXECUTION SPECIFICATION</t>
  </si>
  <si>
    <t>Checkout_01</t>
  </si>
  <si>
    <t>End-to-End checkout as Guest</t>
  </si>
  <si>
    <t>1. Add product to cart and click 'Checkout'.
2. Select 'Guest Checkout' and click 'Continue'.
3. Fill billing details and click 'Confirm Order'.</t>
  </si>
  <si>
    <t>Guest Name, Address, Email</t>
  </si>
  <si>
    <t>User redirected to Success page with Order ID generated.</t>
  </si>
  <si>
    <t>Order completed successfully; redirected to success page with generated Order ID.</t>
  </si>
  <si>
    <t>Checkout_02</t>
  </si>
  <si>
    <t>Checkout as Registered returning user</t>
  </si>
  <si>
    <t>1. Log in with registered user.
2. Proceed to checkout.
3. Select stored address and confirm order.</t>
  </si>
  <si>
    <t>Registered user account</t>
  </si>
  <si>
    <t>Order submitted smoothly utilizing pre-saved address.</t>
  </si>
  <si>
    <t>Checkout completed using pre-saved address.</t>
  </si>
  <si>
    <t>Checkout_03</t>
  </si>
  <si>
    <t>Register account during Checkout step</t>
  </si>
  <si>
    <t>1. Add product and proceed to Checkout.
2. Select 'Register Account' radio option.
3. Fill details &amp; complete checkout.</t>
  </si>
  <si>
    <t>New user details</t>
  </si>
  <si>
    <t>Account created and order processed in single workflow.</t>
  </si>
  <si>
    <t>Account created and order confirmed in single flow.</t>
  </si>
  <si>
    <t>Checkout_04</t>
  </si>
  <si>
    <t>Checkout with empty mandatory billing fields</t>
  </si>
  <si>
    <t>1. Select Guest Checkout.
2. Leave mandatory address fields empty.
3. Click 'Continue'.</t>
  </si>
  <si>
    <t>Blank mandatory fields</t>
  </si>
  <si>
    <t>Inline error warnings highlight required billing fields.</t>
  </si>
  <si>
    <t>Validation warnings displayed highlighting required fields.</t>
  </si>
  <si>
    <t>Checkout_05</t>
  </si>
  <si>
    <t>Checkout with separate Shipping address</t>
  </si>
  <si>
    <t>1. Uncheck 'My delivery and billing addresses are same'.
2. Fill distinct shipping address.
3. Proceed to confirm.</t>
  </si>
  <si>
    <t>Billing address != Shipping address</t>
  </si>
  <si>
    <t>Order confirmation reflects differing billing and shipping info.</t>
  </si>
  <si>
    <t>Order created reflecting distinct billing and shipping details.</t>
  </si>
  <si>
    <t>Checkout_06</t>
  </si>
  <si>
    <t>Verify Payment Method selection (Cash on Delivery)</t>
  </si>
  <si>
    <t>1. Reach Payment Method step.
2. Select 'Cash on Delivery'.
3. Accept Terms &amp; Conditions and continue.</t>
  </si>
  <si>
    <t>COD option</t>
  </si>
  <si>
    <t>Order confirmed with payment status marked as Pending/COD.</t>
  </si>
  <si>
    <t>Order confirmed with COD payment status.</t>
  </si>
  <si>
    <t>Checkout_07</t>
  </si>
  <si>
    <t>Verify Payment Method selection (Credit Card)</t>
  </si>
  <si>
    <t>1. Reach Payment Method step.
2. Select Credit Card option.
3. Enter test card details and confirm.</t>
  </si>
  <si>
    <t>Test Credit Card info</t>
  </si>
  <si>
    <t>Payment processed successfully and order placed.</t>
  </si>
  <si>
    <t>Payment processed successfully in test mode and order placed.</t>
  </si>
  <si>
    <t>Checkout_08</t>
  </si>
  <si>
    <t>Verify Terms and Conditions checkbox requirement</t>
  </si>
  <si>
    <t>1. Reach final checkout step.
2. Leave 'Terms &amp; Conditions' unchecked.
3. Click 'Continue'.</t>
  </si>
  <si>
    <t>Unchecked T&amp;C</t>
  </si>
  <si>
    <t>Warning popup 'You must agree to Terms &amp; Conditions!' appears.</t>
  </si>
  <si>
    <t>Error message 'Error: You must agree to the Terms &amp; Conditions!' displayed.</t>
  </si>
  <si>
    <t>Checkout_09</t>
  </si>
  <si>
    <t>Verify Order Summary review prior to confirmation</t>
  </si>
  <si>
    <t>1. Navigate to final Checkout confirmation step.</t>
  </si>
  <si>
    <t>Cart items</t>
  </si>
  <si>
    <t>Summary lists correct item names, quantities, unit prices, tax, total.</t>
  </si>
  <si>
    <t>Order summary table accurately lists items, prices, taxes, and grand total.</t>
  </si>
  <si>
    <t>Checkout_10</t>
  </si>
  <si>
    <t>Verify Order confirmation Email generation</t>
  </si>
  <si>
    <t>1. Complete successful checkout order.</t>
  </si>
  <si>
    <t>Valid user email</t>
  </si>
  <si>
    <t>Order confirmation email with details is delivered to user.</t>
  </si>
  <si>
    <t>Order confirmation email received with itemized invoice details.</t>
  </si>
  <si>
    <t>Checkout_11</t>
  </si>
  <si>
    <t>Verify Coupon code application at Checkout</t>
  </si>
  <si>
    <t>1. Enter promo code in checkout discount box.
2. Click 'Apply'.</t>
  </si>
  <si>
    <t>Valid promo code</t>
  </si>
  <si>
    <t>Order summary total updates with discount applied.</t>
  </si>
  <si>
    <t>Order total updated with discount applied.</t>
  </si>
  <si>
    <t>Checkout_12</t>
  </si>
  <si>
    <t>Verify Checkout flow when stock runs out concurrently</t>
  </si>
  <si>
    <t>1. Hold product in checkout.
2. Simulate item going out of stock in backend.
3. Click 'Confirm Order'.</t>
  </si>
  <si>
    <t>Out-of-stock trigger</t>
  </si>
  <si>
    <t>Error alert indicates item stock is no longer available.</t>
  </si>
  <si>
    <t>System allowed checkout completion despite item stock zeroing out.</t>
  </si>
  <si>
    <t>Checkout_13</t>
  </si>
  <si>
    <t>Verify Shipping Method selection radio options</t>
  </si>
  <si>
    <t>1. Reach Shipping Method step.
2. Choose 'Flat Shipping Rate'.
3. Click 'Continue'.</t>
  </si>
  <si>
    <t>Flat rate selected</t>
  </si>
  <si>
    <t>Selected shipping fee added to total order sum.</t>
  </si>
  <si>
    <t>Flat rate shipping fee added to order total.</t>
  </si>
  <si>
    <t>Checkout_14</t>
  </si>
  <si>
    <t>Verify comment box in Checkout order placement</t>
  </si>
  <si>
    <t>1. Enter delivery notes in Order Comments text area.
2. Submit order.</t>
  </si>
  <si>
    <t>Comments: 'Leave at front door'</t>
  </si>
  <si>
    <t>Comment saved and attached to order record in backend.</t>
  </si>
  <si>
    <t>Order comments saved and visible in account order details.</t>
  </si>
  <si>
    <t>Checkout_15</t>
  </si>
  <si>
    <t>Verify back navigation between checkout steps</t>
  </si>
  <si>
    <t>1. Move to Step 4 (Delivery Method).
2. Click 'Modify' on Step 2 (Billing Details).</t>
  </si>
  <si>
    <t>In-progress checkout</t>
  </si>
  <si>
    <t>Step re-opens for editing without resetting other step fields.</t>
  </si>
  <si>
    <t>Step 2 opened for editing while preserving input in other steps.</t>
  </si>
  <si>
    <t>Checkout_16</t>
  </si>
  <si>
    <t>Verify currency conversion at Checkout</t>
  </si>
  <si>
    <t>1. Switch currency selector to EUR/GBP.
2. Proceed to checkout.</t>
  </si>
  <si>
    <t>Currency: EUR</t>
  </si>
  <si>
    <t>All prices, taxes, and totals render in selected currency.</t>
  </si>
  <si>
    <t>Checkout values rendered in EUR with accurate conversion.</t>
  </si>
  <si>
    <t>Checkout_17</t>
  </si>
  <si>
    <t>Verify invalid Credit Card details handling</t>
  </si>
  <si>
    <t>1. Enter invalid/expired card details in payment gateway step.</t>
  </si>
  <si>
    <t>Card No: 4000000000000002</t>
  </si>
  <si>
    <t>Payment gateway rejects transaction with clear error message.</t>
  </si>
  <si>
    <t>Payment transaction rejected with clear error alert.</t>
  </si>
  <si>
    <t>Checkout_18</t>
  </si>
  <si>
    <t>Verify postal code format validation in billing address</t>
  </si>
  <si>
    <t>1. Enter invalid ZIP code format for selected country.
2. Click 'Continue'.</t>
  </si>
  <si>
    <t>ZIP: 'ABC!!'</t>
  </si>
  <si>
    <t>Validation error regarding incorrect postal code format is shown.</t>
  </si>
  <si>
    <t>Invalid ZIP code accepted without format validation error.</t>
  </si>
  <si>
    <t>Checkout_19</t>
  </si>
  <si>
    <t>Verify guest checkout disabled setting compliance</t>
  </si>
  <si>
    <t>1. Disable guest checkout in Admin panel.
2. Access checkout on frontend.</t>
  </si>
  <si>
    <t>Guest disabled mode</t>
  </si>
  <si>
    <t>'Guest Checkout' option is hidden, enforcing login/registration.</t>
  </si>
  <si>
    <t>'Guest Checkout' radio option hidden when disabled in admin.</t>
  </si>
  <si>
    <t>Checkout_20</t>
  </si>
  <si>
    <t>Verify Order history record updated post checkout</t>
  </si>
  <si>
    <t>1. Complete checkout as registered user.
2. Navigate to 'My Account' &gt; 'Order History'.</t>
  </si>
  <si>
    <t>Logged-in user order</t>
  </si>
  <si>
    <t>Newly created order appears at top of order history list.</t>
  </si>
  <si>
    <t>New order listed at top of user Order History with 'Pending' status.</t>
  </si>
  <si>
    <t>USER INTERFACE MODULE - TEST EXECUTION SPECIFICATION</t>
  </si>
  <si>
    <t>UI_01</t>
  </si>
  <si>
    <t>Verify category Navigation from main menu</t>
  </si>
  <si>
    <t>1. Locate Main Header Menu.
2. Click dynamic category link (e.g. Fragrance).</t>
  </si>
  <si>
    <t>Category Links</t>
  </si>
  <si>
    <t>Category page lists relevant products; breadcrumb updates.</t>
  </si>
  <si>
    <t>Category page loaded with products and breadcrumbs updated.</t>
  </si>
  <si>
    <t>UI_02</t>
  </si>
  <si>
    <t>Verify Breadcrumb navigation links</t>
  </si>
  <si>
    <t>1. Navigate deep into product detail page.
2. Click middle link in breadcrumb bar.</t>
  </si>
  <si>
    <t>Breadcrumb path</t>
  </si>
  <si>
    <t>User is navigated directly to selected parent category page.</t>
  </si>
  <si>
    <t>Navigated directly to selected parent category upon clicking breadcrumb.</t>
  </si>
  <si>
    <t>UI_03</t>
  </si>
  <si>
    <t>Verify responsive layout on Mobile viewports</t>
  </si>
  <si>
    <t>1. Resize browser width to mobile screen (e.g. 375px width).</t>
  </si>
  <si>
    <t>Mobile resolution</t>
  </si>
  <si>
    <t>Navigation collapses into hamburger menu; layout scales smoothly.</t>
  </si>
  <si>
    <t>Navigation collapsed into responsive mobile menu seamlessly.</t>
  </si>
  <si>
    <t>UI_04</t>
  </si>
  <si>
    <t>Verify responsive layout on Tablet viewports</t>
  </si>
  <si>
    <t>1. Resize browser width to tablet screen (e.g. 768px width).</t>
  </si>
  <si>
    <t>Tablet resolution</t>
  </si>
  <si>
    <t>Layout adjusts columns appropriately without horizontal scrolling.</t>
  </si>
  <si>
    <t>Layout scaled cleanly without horizontal scrollbars.</t>
  </si>
  <si>
    <t>UI_05</t>
  </si>
  <si>
    <t>Verify main homepage Hero Banner slider carousel</t>
  </si>
  <si>
    <t>1. Observe homepage main slider banner.
2. Click Next/Prev arrows or let auto-scroll.</t>
  </si>
  <si>
    <t>Banner Carousel</t>
  </si>
  <si>
    <t>Banner slides seamlessly to next promotional image.</t>
  </si>
  <si>
    <t>Banner carousel slides smoothly and controls respond correctly.</t>
  </si>
  <si>
    <t>UI_06</t>
  </si>
  <si>
    <t>Verify Footer social media links navigation</t>
  </si>
  <si>
    <t>1. Scroll down to footer.
2. Click Facebook / Twitter social icons.</t>
  </si>
  <si>
    <t>Footer links</t>
  </si>
  <si>
    <t>Social media pages open correctly in new browser tabs.</t>
  </si>
  <si>
    <t>Social media links open official pages in new tabs.</t>
  </si>
  <si>
    <t>UI_07</t>
  </si>
  <si>
    <t>Verify 'Scroll to Top' button functionality</t>
  </si>
  <si>
    <t>1. Scroll down to bottom of long page.
2. Click floating 'Scroll to Top' arrow.</t>
  </si>
  <si>
    <t>Bottom of page</t>
  </si>
  <si>
    <t>Page smoothly scrolls back to top header.</t>
  </si>
  <si>
    <t>Scroll to top button smoothly returned page to top header.</t>
  </si>
  <si>
    <t>UI_08</t>
  </si>
  <si>
    <t>Verify Product image zoom feature</t>
  </si>
  <si>
    <t>1. Navigate to product details page.
2. Hover over or click product thumbnail.</t>
  </si>
  <si>
    <t>Product Image</t>
  </si>
  <si>
    <t>Enlarged high-resolution image zoom modal opens.</t>
  </si>
  <si>
    <t>High-resolution image modal opened upon clicking thumbnail.</t>
  </si>
  <si>
    <t>UI_09</t>
  </si>
  <si>
    <t>Verify Header contact number and email link display</t>
  </si>
  <si>
    <t>1. Inspect header contact bar.
2. Click phone/email link.</t>
  </si>
  <si>
    <t>Header contact info</t>
  </si>
  <si>
    <t>Initiates call protocol or opens default mail client.</t>
  </si>
  <si>
    <t>Phone link triggers call protocol and email link opens mail client.</t>
  </si>
  <si>
    <t>UI_10</t>
  </si>
  <si>
    <t>Verify Broken links check across homepage</t>
  </si>
  <si>
    <t>1. Run automated crawler or click key homepage links.</t>
  </si>
  <si>
    <t>Homepage elements</t>
  </si>
  <si>
    <t>All links return valid HTTP 200 responses without 404 errors.</t>
  </si>
  <si>
    <t>All tested header/footer links returned valid HTTP 200 responses.</t>
  </si>
  <si>
    <t>UI_11</t>
  </si>
  <si>
    <t>Verify Tooltip display on action buttons</t>
  </si>
  <si>
    <t>1. Hover cursor over 'Add to Wishlist' / 'Compare' icons.</t>
  </si>
  <si>
    <t>Icon buttons</t>
  </si>
  <si>
    <t>Descriptive tooltip text appears near cursor.</t>
  </si>
  <si>
    <t>Tooltip text displays on hovering action icons.</t>
  </si>
  <si>
    <t>UI_12</t>
  </si>
  <si>
    <t>Verify Favicon visibility in browser tab</t>
  </si>
  <si>
    <t>1. Open application URL in web browser tab.</t>
  </si>
  <si>
    <t>Browser tab bar</t>
  </si>
  <si>
    <t>Custom brand favicon image displays in tab header.</t>
  </si>
  <si>
    <t>Custom brand favicon rendered in browser tab header.</t>
  </si>
  <si>
    <t>UI_13</t>
  </si>
  <si>
    <t>Verify Custom 404 Error page design</t>
  </si>
  <si>
    <t>1. Enter invalid URL path (e.g. /nonexistentpage).</t>
  </si>
  <si>
    <t>Invalid URL</t>
  </si>
  <si>
    <t>User-friendly 404 'Page Not Found' screen renders with Home button.</t>
  </si>
  <si>
    <t>User-friendly 404 error page displayed with button back to Home.</t>
  </si>
  <si>
    <t>UI_14</t>
  </si>
  <si>
    <t>Verify Newsletter popup modal display</t>
  </si>
  <si>
    <t>1. Access homepage as new visitor.</t>
  </si>
  <si>
    <t>First-time session</t>
  </si>
  <si>
    <t>Promotional newsletter subscription modal displays over content.</t>
  </si>
  <si>
    <t>No newsletter popup modal appeared on initial homepage visit.</t>
  </si>
  <si>
    <t>UI_15</t>
  </si>
  <si>
    <t>Verify Language switcher functionality</t>
  </si>
  <si>
    <t>1. Locate header language dropdown.
2. Switch language (e.g. English to Spanish).</t>
  </si>
  <si>
    <t>Language toggle</t>
  </si>
  <si>
    <t>UI text labels translate according to selected language.</t>
  </si>
  <si>
    <t>Language dropdown options failed to update UI text strings.</t>
  </si>
  <si>
    <t>UI_16</t>
  </si>
  <si>
    <t>Verify Dark / Light Mode theme toggle (if applicable)</t>
  </si>
  <si>
    <t>1. Click theme toggle icon in header/footer.</t>
  </si>
  <si>
    <t>Theme switch icon</t>
  </si>
  <si>
    <t>Color scheme transforms seamlessly between Dark and Light mode.</t>
  </si>
  <si>
    <t>Dark/Light mode feature not present on application UI.</t>
  </si>
  <si>
    <t>Blocked</t>
  </si>
  <si>
    <t>UI_17</t>
  </si>
  <si>
    <t>Verify font rendering and cross-browser consistency</t>
  </si>
  <si>
    <t>1. Open site in Chrome, Firefox, Safari, and Edge.</t>
  </si>
  <si>
    <t>Cross-browser test</t>
  </si>
  <si>
    <t>Fonts, colors, and layout elements align consistently across browsers.</t>
  </si>
  <si>
    <t>Layout and fonts rendered consistently across all 4 major browsers.</t>
  </si>
  <si>
    <t>UI_18</t>
  </si>
  <si>
    <t>Verify loading spinner on slow async operations</t>
  </si>
  <si>
    <t>1. Trigger API fetch operation (e.g. updating cart).</t>
  </si>
  <si>
    <t>Async action trigger</t>
  </si>
  <si>
    <t>Visual loading spinner indicates ongoing process.</t>
  </si>
  <si>
    <t>Loading overlay/spinner displayed during cart updates.</t>
  </si>
  <si>
    <t>UI_19</t>
  </si>
  <si>
    <t>Verify Sticky Header navigation on scroll</t>
  </si>
  <si>
    <t>1. Scroll down page content.</t>
  </si>
  <si>
    <t>Page scroll action</t>
  </si>
  <si>
    <t>Header bar remains pinned to top of browser viewport.</t>
  </si>
  <si>
    <t>Header bar remains pinned to top during page scrolling.</t>
  </si>
  <si>
    <t>UI_20</t>
  </si>
  <si>
    <t>Verify Cookie Consent banner display</t>
  </si>
  <si>
    <t>1. Clear cookies and load homepage.</t>
  </si>
  <si>
    <t>Clean browser storage</t>
  </si>
  <si>
    <t>Cookie consent notification banner displays with Accept option.</t>
  </si>
  <si>
    <t>Cookie consent banner displayed at bottom of viewport.</t>
  </si>
  <si>
    <t>AUTOMATION TEST STORE - MANUAL TESTING DASHBOARD</t>
  </si>
  <si>
    <t>Executive Test Execution Summary &amp; Quality Metrics Report | Environment: Demo Web Store</t>
  </si>
  <si>
    <t>TOTAL TEST CASES</t>
  </si>
  <si>
    <t>PASSED</t>
  </si>
  <si>
    <t>FAILED</t>
  </si>
  <si>
    <t>PASS RATE %</t>
  </si>
  <si>
    <t>MODULE EXECUTION BREAKDOWN</t>
  </si>
  <si>
    <t>Module Name</t>
  </si>
  <si>
    <t>Total Tests</t>
  </si>
  <si>
    <t>Passed</t>
  </si>
  <si>
    <t>Failed</t>
  </si>
  <si>
    <t>Pass Rate (%)</t>
  </si>
  <si>
    <t>Registration</t>
  </si>
  <si>
    <t>Authentication</t>
  </si>
  <si>
    <t>Search</t>
  </si>
  <si>
    <t>Cart</t>
  </si>
  <si>
    <t>Checkout</t>
  </si>
  <si>
    <t>User Interface</t>
  </si>
  <si>
    <t>Total /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</si>
</sst>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%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35" x14ac:knownFonts="35">
    <font>
      <sz val="11.0"/>
      <name val="Calibri"/>
      <family val="1"/>
    </font>
    <font>
      <sz val="11.0"/>
      <name val="Calibri"/>
      <family val="1"/>
    </font>
    <font>
      <sz val="16.0"/>
      <color rgb="FF1F497D"/>
      <name val="Segoe UI"/>
      <family val="1"/>
      <b/>
    </font>
    <font>
      <sz val="10.0"/>
      <color rgb="FF595959"/>
      <name val="Segoe UI"/>
      <family val="1"/>
      <i/>
    </font>
    <font>
      <sz val="10.0"/>
      <color rgb="FF000000"/>
      <name val="Segoe UI"/>
      <family val="1"/>
      <b/>
    </font>
    <font>
      <sz val="20.0"/>
      <color rgb="FF1F497D"/>
      <name val="Segoe UI"/>
      <family val="1"/>
      <b/>
    </font>
    <font>
      <sz val="20.0"/>
      <color rgb="FF276A3C"/>
      <name val="Segoe UI"/>
      <family val="1"/>
      <b/>
    </font>
    <font>
      <sz val="20.0"/>
      <color rgb="FFA61C1C"/>
      <name val="Segoe UI"/>
      <family val="1"/>
      <b/>
    </font>
    <font>
      <sz val="12.0"/>
      <color rgb="FF1F497D"/>
      <name val="Segoe UI"/>
      <family val="1"/>
      <b/>
    </font>
    <font>
      <sz val="11.0"/>
      <color rgb="FFFFFFFF"/>
      <name val="Segoe UI"/>
      <family val="1"/>
      <b/>
    </font>
    <font>
      <sz val="10.0"/>
      <color rgb="FF000000"/>
      <name val="Segoe UI"/>
      <family val="1"/>
    </font>
    <font>
      <sz val="10.0"/>
      <color rgb="FF375623"/>
      <name val="Segoe UI"/>
      <family val="1"/>
      <b/>
    </font>
    <font>
      <sz val="10.0"/>
      <color rgb="FFC65911"/>
      <name val="Segoe UI"/>
      <family val="1"/>
      <b/>
    </font>
    <font>
      <sz val="10.0"/>
      <color rgb="FF806000"/>
      <name val="Segoe UI"/>
      <family val="1"/>
      <b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color rgb="FF375623"/>
      <name val="Calibri"/>
      <family val="1"/>
    </font>
    <font>
      <sz val="11.0"/>
      <color rgb="FFC65911"/>
      <name val="Calibri"/>
      <family val="1"/>
    </font>
    <font>
      <sz val="11.0"/>
      <color rgb="FF806000"/>
      <name val="Calibri"/>
      <family val="1"/>
    </font>
    <font>
      <sz val="11.0"/>
      <name val="Calibri"/>
      <family val="1"/>
    </font>
  </fonts>
  <fills count="40">
    <fill>
      <patternFill patternType="none"/>
    </fill>
    <fill>
      <patternFill patternType="gray125"/>
    </fill>
    <fill>
      <patternFill patternType="solid">
        <fgColor rgb="FF00F2F4"/>
        <bgColor indexed="64"/>
      </patternFill>
    </fill>
    <fill>
      <patternFill patternType="solid">
        <fgColor rgb="FF001F4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9FA"/>
        <bgColor indexed="64"/>
      </patternFill>
    </fill>
    <fill>
      <patternFill patternType="solid">
        <fgColor rgb="FF00E2EF"/>
        <bgColor indexed="64"/>
      </patternFill>
    </fill>
    <fill>
      <patternFill patternType="solid">
        <fgColor rgb="FF00FCE4"/>
        <bgColor indexed="64"/>
      </patternFill>
    </fill>
    <fill>
      <patternFill patternType="solid">
        <fgColor rgb="FF00FF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3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87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/>
    <xf numFmtId="0" fontId="3" applyFont="1" fillId="0" borderId="0" applyAlignment="1" xfId="0"/>
    <xf numFmtId="0" fontId="4" applyFont="1" fillId="2" applyFill="1" borderId="1" applyBorder="1" applyAlignment="1" xfId="0">
      <alignment horizontal="center" vertical="center" wrapText="1"/>
    </xf>
    <xf numFmtId="0" fontId="1" applyFont="1" fillId="0" borderId="2" applyBorder="1" applyAlignment="1" xfId="0"/>
    <xf numFmtId="0" fontId="5" applyFont="1" fillId="2" applyFill="1" borderId="3" applyBorder="1" applyAlignment="1" xfId="0">
      <alignment horizontal="center" vertical="center" wrapText="1"/>
    </xf>
    <xf numFmtId="0" fontId="6" applyFont="1" fillId="2" applyFill="1" borderId="4" applyBorder="1" applyAlignment="1" xfId="0">
      <alignment horizontal="center" vertical="center" wrapText="1"/>
    </xf>
    <xf numFmtId="0" fontId="7" applyFont="1" fillId="2" applyFill="1" borderId="5" applyBorder="1" applyAlignment="1" xfId="0">
      <alignment horizontal="center" vertical="center" wrapText="1"/>
    </xf>
    <xf numFmtId="176" applyNumberFormat="1" fontId="5" applyFont="1" fillId="2" applyFill="1" borderId="6" applyBorder="1" applyAlignment="1" xfId="0">
      <alignment horizontal="center" vertical="center" wrapText="1"/>
    </xf>
    <xf numFmtId="0" fontId="8" applyFont="1" fillId="0" borderId="0" applyAlignment="1" xfId="0"/>
    <xf numFmtId="0" fontId="9" applyFont="1" fillId="3" applyFill="1" borderId="7" applyBorder="1" applyAlignment="1" xfId="0">
      <alignment horizontal="center" vertical="center" wrapText="1"/>
    </xf>
    <xf numFmtId="0" fontId="10" applyFont="1" fillId="4" applyFill="1" borderId="8" applyBorder="1" applyAlignment="1" xfId="0">
      <alignment horizontal="left" vertical="top" wrapText="1"/>
    </xf>
    <xf numFmtId="0" fontId="10" applyFont="1" fillId="4" applyFill="1" borderId="9" applyBorder="1" applyAlignment="1" xfId="0">
      <alignment horizontal="center" vertical="top" wrapText="1"/>
    </xf>
    <xf numFmtId="176" applyNumberFormat="1" fontId="10" applyFont="1" fillId="4" applyFill="1" borderId="10" applyBorder="1" applyAlignment="1" xfId="0">
      <alignment horizontal="center" vertical="top" wrapText="1"/>
    </xf>
    <xf numFmtId="0" fontId="10" applyFont="1" fillId="5" applyFill="1" borderId="11" applyBorder="1" applyAlignment="1" xfId="0">
      <alignment horizontal="left" vertical="top" wrapText="1"/>
    </xf>
    <xf numFmtId="0" fontId="10" applyFont="1" fillId="5" applyFill="1" borderId="12" applyBorder="1" applyAlignment="1" xfId="0">
      <alignment horizontal="center" vertical="top" wrapText="1"/>
    </xf>
    <xf numFmtId="176" applyNumberFormat="1" fontId="10" applyFont="1" fillId="5" applyFill="1" borderId="13" applyBorder="1" applyAlignment="1" xfId="0">
      <alignment horizontal="center" vertical="top" wrapText="1"/>
    </xf>
    <xf numFmtId="0" fontId="4" applyFont="1" fillId="2" applyFill="1" borderId="14" applyBorder="1" applyAlignment="1" xfId="0"/>
    <xf numFmtId="0" fontId="4" applyFont="1" fillId="2" applyFill="1" borderId="15" applyBorder="1" applyAlignment="1" xfId="0">
      <alignment horizontal="center" vertical="top" wrapText="1"/>
    </xf>
    <xf numFmtId="176" applyNumberFormat="1" fontId="4" applyFont="1" fillId="2" applyFill="1" borderId="16" applyBorder="1" applyAlignment="1" xfId="0">
      <alignment horizontal="center" vertical="top" wrapText="1"/>
    </xf>
    <xf numFmtId="0" fontId="2" applyFont="1" fillId="0" borderId="0" applyAlignment="1" xfId="0">
      <alignment horizontal="left" vertical="center"/>
    </xf>
    <xf numFmtId="0" fontId="11" applyFont="1" fillId="6" applyFill="1" borderId="17" applyBorder="1" applyAlignment="1" xfId="0">
      <alignment horizontal="center" vertical="top" wrapText="1"/>
    </xf>
    <xf numFmtId="0" fontId="12" applyFont="1" fillId="7" applyFill="1" borderId="18" applyBorder="1" applyAlignment="1" xfId="0">
      <alignment horizontal="center" vertical="top" wrapText="1"/>
    </xf>
    <xf numFmtId="0" fontId="13" applyFont="1" fillId="8" applyFill="1" borderId="19" applyBorder="1" applyAlignment="1" xfId="0">
      <alignment horizontal="center" vertical="top" wrapText="1"/>
    </xf>
    <xf numFmtId="0" fontId="1" applyFont="1" fillId="0" borderId="0" applyAlignment="1" xfId="0"/>
    <xf numFmtId="0" fontId="1" applyFont="1" fillId="0" borderId="0" applyAlignment="1" xfId="0"/>
    <xf numFmtId="0" fontId="1" applyFont="1" fillId="0" borderId="20" applyBorder="1" applyAlignment="1" xfId="0"/>
    <xf numFmtId="0" fontId="6" applyFont="1" fillId="2" applyFill="1" borderId="21" applyBorder="1" applyAlignment="1" xfId="0">
      <alignment horizontal="center" vertical="center" wrapText="1"/>
    </xf>
    <xf numFmtId="0" fontId="5" applyFont="1" fillId="2" applyFill="1" borderId="22" applyBorder="1" applyAlignment="1" xfId="0">
      <alignment horizontal="center" vertical="center" wrapText="1"/>
    </xf>
    <xf numFmtId="176" applyNumberFormat="1" fontId="5" applyFont="1" fillId="2" applyFill="1" borderId="23" applyBorder="1" applyAlignment="1" xfId="0">
      <alignment horizontal="center" vertical="center" wrapText="1"/>
    </xf>
    <xf numFmtId="0" fontId="4" applyFont="1" fillId="2" applyFill="1" borderId="24" applyBorder="1" applyAlignment="1" xfId="0">
      <alignment horizontal="center" vertical="center" wrapText="1"/>
    </xf>
    <xf numFmtId="0" fontId="2" applyFont="1" fillId="0" borderId="0" applyAlignment="1" xfId="0"/>
    <xf numFmtId="0" fontId="3" applyFont="1" fillId="0" borderId="0" applyAlignment="1" xfId="0"/>
    <xf numFmtId="0" fontId="7" applyFont="1" fillId="2" applyFill="1" borderId="25" applyBorder="1" applyAlignment="1" xfId="0">
      <alignment horizontal="center" vertical="center" wrapText="1"/>
    </xf>
    <xf numFmtId="0" fontId="14" applyFont="1" fillId="9" applyFill="1" borderId="0" applyAlignment="1" xfId="0"/>
    <xf numFmtId="0" fontId="15" applyFont="1" fillId="10" applyFill="1" borderId="0" applyAlignment="1" xfId="0"/>
    <xf numFmtId="0" fontId="16" applyFont="1" fillId="11" applyFill="1" borderId="0" applyAlignment="1" xfId="0"/>
    <xf numFmtId="0" fontId="17" applyFont="1" fillId="12" applyFill="1" borderId="26" applyBorder="1" applyAlignment="1" xfId="0"/>
    <xf numFmtId="0" fontId="18" applyFont="1" fillId="13" applyFill="1" borderId="27" applyBorder="1" applyAlignment="1" xfId="0"/>
    <xf numFmtId="0" fontId="19" applyFont="1" fillId="0" borderId="0" applyAlignment="1" xfId="0"/>
    <xf numFmtId="0" fontId="20" applyFont="1" fillId="0" borderId="0" applyAlignment="1" xfId="0"/>
    <xf numFmtId="0" fontId="21" applyFont="1" fillId="0" borderId="28" applyBorder="1" applyAlignment="1" xfId="0"/>
    <xf numFmtId="0" fontId="22" applyFont="1" fillId="12" applyFill="1" borderId="29" applyBorder="1" applyAlignment="1" xfId="0"/>
    <xf numFmtId="0" fontId="23" applyFont="1" fillId="14" applyFill="1" borderId="30" applyBorder="1" applyAlignment="1" xfId="0"/>
    <xf numFmtId="0" fontId="1" applyFont="1" fillId="15" applyFill="1" borderId="31" applyBorder="1" applyAlignment="1" xfId="0"/>
    <xf numFmtId="0" fontId="24" applyFont="1" fillId="0" borderId="0" applyAlignment="1" xfId="0"/>
    <xf numFmtId="0" fontId="25" applyFont="1" fillId="0" borderId="32" applyBorder="1" applyAlignment="1" xfId="0"/>
    <xf numFmtId="0" fontId="26" applyFont="1" fillId="0" borderId="33" applyBorder="1" applyAlignment="1" xfId="0"/>
    <xf numFmtId="0" fontId="27" applyFont="1" fillId="0" borderId="34" applyBorder="1" applyAlignment="1" xfId="0"/>
    <xf numFmtId="0" fontId="27" applyFont="1" fillId="0" borderId="0" applyAlignment="1" xfId="0"/>
    <xf numFmtId="0" fontId="28" applyFont="1" fillId="0" borderId="35" applyBorder="1" applyAlignment="1" xfId="0"/>
    <xf numFmtId="0" fontId="29" applyFont="1" fillId="16" applyFill="1" borderId="0" applyAlignment="1" xfId="0"/>
    <xf numFmtId="0" fontId="29" applyFont="1" fillId="17" applyFill="1" borderId="0" applyAlignment="1" xfId="0"/>
    <xf numFmtId="0" fontId="29" applyFont="1" fillId="18" applyFill="1" borderId="0" applyAlignment="1" xfId="0"/>
    <xf numFmtId="0" fontId="29" applyFont="1" fillId="19" applyFill="1" borderId="0" applyAlignment="1" xfId="0"/>
    <xf numFmtId="0" fontId="29" applyFont="1" fillId="20" applyFill="1" borderId="0" applyAlignment="1" xfId="0"/>
    <xf numFmtId="0" fontId="29" applyFont="1" fillId="21" applyFill="1" borderId="0" applyAlignment="1" xfId="0"/>
    <xf numFmtId="0" fontId="29" applyFont="1" fillId="22" applyFill="1" borderId="0" applyAlignment="1" xfId="0"/>
    <xf numFmtId="0" fontId="29" applyFont="1" fillId="23" applyFill="1" borderId="0" applyAlignment="1" xfId="0"/>
    <xf numFmtId="0" fontId="29" applyFont="1" fillId="24" applyFill="1" borderId="0" applyAlignment="1" xfId="0"/>
    <xf numFmtId="0" fontId="29" applyFont="1" fillId="25" applyFill="1" borderId="0" applyAlignment="1" xfId="0"/>
    <xf numFmtId="0" fontId="29" applyFont="1" fillId="26" applyFill="1" borderId="0" applyAlignment="1" xfId="0"/>
    <xf numFmtId="0" fontId="29" applyFont="1" fillId="27" applyFill="1" borderId="0" applyAlignment="1" xfId="0"/>
    <xf numFmtId="0" fontId="30" applyFont="1" fillId="28" applyFill="1" borderId="0" applyAlignment="1" xfId="0"/>
    <xf numFmtId="0" fontId="30" applyFont="1" fillId="29" applyFill="1" borderId="0" applyAlignment="1" xfId="0"/>
    <xf numFmtId="0" fontId="30" applyFont="1" fillId="30" applyFill="1" borderId="0" applyAlignment="1" xfId="0"/>
    <xf numFmtId="0" fontId="30" applyFont="1" fillId="31" applyFill="1" borderId="0" applyAlignment="1" xfId="0"/>
    <xf numFmtId="0" fontId="30" applyFont="1" fillId="32" applyFill="1" borderId="0" applyAlignment="1" xfId="0"/>
    <xf numFmtId="0" fontId="30" applyFont="1" fillId="33" applyFill="1" borderId="0" applyAlignment="1" xfId="0"/>
    <xf numFmtId="0" fontId="30" applyFont="1" fillId="34" applyFill="1" borderId="0" applyAlignment="1" xfId="0"/>
    <xf numFmtId="0" fontId="30" applyFont="1" fillId="35" applyFill="1" borderId="0" applyAlignment="1" xfId="0"/>
    <xf numFmtId="0" fontId="30" applyFont="1" fillId="36" applyFill="1" borderId="0" applyAlignment="1" xfId="0"/>
    <xf numFmtId="0" fontId="30" applyFont="1" fillId="37" applyFill="1" borderId="0" applyAlignment="1" xfId="0"/>
    <xf numFmtId="0" fontId="30" applyFont="1" fillId="38" applyFill="1" borderId="0" applyAlignment="1" xfId="0"/>
    <xf numFmtId="0" fontId="30" applyFont="1" fillId="39" applyFill="1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31" applyFont="1" fillId="6" applyFill="1" borderId="0" applyAlignment="1" xfId="0"/>
    <xf numFmtId="0" fontId="32" applyFont="1" fillId="7" applyFill="1" borderId="0" applyAlignment="1" xfId="0"/>
    <xf numFmtId="0" fontId="33" applyFont="1" fillId="8" applyFill="1" borderId="0" applyAlignment="1" xfId="0"/>
    <xf numFmtId="0" fontId="0" fillId="0" borderId="0" applyAlignment="1" xfId="0"/>
  </cellXfs>
  <cellStyles count="1">
    <cellStyle name="常规" xfId="0" builtinId="0"/>
  </cellStyles>
  <dxfs count="3">
    <dxf>
      <font>
        <color rgb="FF375623"/>
      </font>
      <fill>
        <patternFill>
          <bgColor rgb="FF00E2EF"/>
        </patternFill>
      </fill>
    </dxf>
    <dxf>
      <font>
        <color rgb="FFC65911"/>
      </font>
      <fill>
        <patternFill>
          <bgColor rgb="FF00FCE4"/>
        </patternFill>
      </fill>
    </dxf>
    <dxf>
      <font>
        <color rgb="FF806000"/>
      </font>
      <fill>
        <patternFill>
          <bgColor rgb="FF00FFF2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1.xml"/><Relationship Id="rId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I17"/>
  <sheetViews>
    <sheetView tabSelected="1" zoomScaleNormal="100" topLeftCell="A1" workbookViewId="0">
      <selection activeCell="F17" activeCellId="0" sqref="F17"/>
    </sheetView>
  </sheetViews>
  <sheetFormatPr defaultRowHeight="15.0" defaultColWidth="9.0" x14ac:dyDescent="0.15"/>
  <cols>
    <col min="1" max="1" width="3.75" customWidth="1"/>
    <col min="2" max="2" width="27.5" customWidth="1"/>
    <col min="3" max="3" width="17.5" customWidth="1"/>
    <col min="4" max="6" width="15.0" customWidth="1"/>
    <col min="7" max="9" width="18.75" customWidth="1"/>
  </cols>
  <sheetData>
    <row r="2" spans="1:9" ht="18.749714" customHeight="1" x14ac:dyDescent="0.15">
      <c r="B2" s="32" t="s">
        <v>728</v>
      </c>
      <c r="C2" s="26"/>
      <c r="D2" s="26"/>
      <c r="E2" s="26"/>
      <c r="F2" s="26"/>
      <c r="G2" s="26"/>
      <c r="H2" s="26"/>
      <c r="I2" s="26"/>
    </row>
    <row r="3" spans="2:9" x14ac:dyDescent="0.15">
      <c r="B3" s="33" t="s">
        <v>729</v>
      </c>
      <c r="C3" s="26"/>
      <c r="D3" s="26"/>
      <c r="E3" s="26"/>
      <c r="F3" s="26"/>
      <c r="G3" s="26"/>
      <c r="H3" s="26"/>
      <c r="I3" s="26"/>
    </row>
    <row r="5" spans="2:9" x14ac:dyDescent="0.15">
      <c r="B5" s="31" t="s">
        <v>730</v>
      </c>
      <c r="C5" s="27"/>
      <c r="D5" s="31" t="s">
        <v>731</v>
      </c>
      <c r="E5" s="27"/>
      <c r="F5" s="31" t="s">
        <v>732</v>
      </c>
      <c r="G5" s="27"/>
      <c r="H5" s="31" t="s">
        <v>733</v>
      </c>
      <c r="I5" s="27"/>
    </row>
    <row r="6" spans="1:9" ht="26.999588" customHeight="1" x14ac:dyDescent="0.15">
      <c r="B6" s="29">
        <f>SUM(C11:C16)</f>
        <v>120</v>
      </c>
      <c r="C6" s="27"/>
      <c r="D6" s="28">
        <f>SUM(D11:D16)</f>
        <v>106</v>
      </c>
      <c r="E6" s="27"/>
      <c r="F6" s="34">
        <f>SUM(E11:E16)</f>
        <v>13</v>
      </c>
      <c r="G6" s="27"/>
      <c r="H6" s="30">
        <f>D6/B6</f>
        <v>0.8833333333333333</v>
      </c>
      <c r="I6" s="27"/>
    </row>
    <row r="9" spans="2:2" x14ac:dyDescent="0.15">
      <c r="B9" s="10" t="s">
        <v>734</v>
      </c>
    </row>
    <row r="10" spans="2:7" x14ac:dyDescent="0.15">
      <c r="B10" s="11" t="s">
        <v>735</v>
      </c>
      <c r="C10" s="11" t="s">
        <v>736</v>
      </c>
      <c r="D10" s="11" t="s">
        <v>737</v>
      </c>
      <c r="E10" s="11" t="s">
        <v>738</v>
      </c>
      <c r="F10" s="11" t="s">
        <v>703</v>
      </c>
      <c r="G10" s="11" t="s">
        <v>739</v>
      </c>
    </row>
    <row r="11" spans="2:7" x14ac:dyDescent="0.15">
      <c r="B11" s="12" t="s">
        <v>740</v>
      </c>
      <c r="C11" s="13">
        <v>20</v>
      </c>
      <c r="D11" s="13">
        <v>18</v>
      </c>
      <c r="E11" s="13">
        <v>2</v>
      </c>
      <c r="F11" s="13">
        <v>0</v>
      </c>
      <c r="G11" s="14">
        <f>D11/C11</f>
        <v>0.9</v>
      </c>
    </row>
    <row r="12" spans="2:7" x14ac:dyDescent="0.15">
      <c r="B12" s="15" t="s">
        <v>741</v>
      </c>
      <c r="C12" s="16">
        <v>20</v>
      </c>
      <c r="D12" s="16">
        <v>17</v>
      </c>
      <c r="E12" s="16">
        <v>3</v>
      </c>
      <c r="F12" s="13">
        <v>0</v>
      </c>
      <c r="G12" s="17">
        <f>D12/C12</f>
        <v>0.85</v>
      </c>
    </row>
    <row r="13" spans="2:7" x14ac:dyDescent="0.15">
      <c r="B13" s="12" t="s">
        <v>742</v>
      </c>
      <c r="C13" s="13">
        <v>20</v>
      </c>
      <c r="D13" s="13">
        <f>COUNTIF('Search'!G4:G23,"Pass")</f>
        <v>18</v>
      </c>
      <c r="E13" s="13">
        <f>COUNTIF('Search'!G4:G23,"Fail")</f>
        <v>2</v>
      </c>
      <c r="F13" s="13">
        <f>COUNTIF('Search'!G4:G23,"Blocked")</f>
        <v>0</v>
      </c>
      <c r="G13" s="14">
        <f>D13/C13</f>
        <v>0.9</v>
      </c>
    </row>
    <row r="14" spans="2:7" x14ac:dyDescent="0.15">
      <c r="B14" s="15" t="s">
        <v>743</v>
      </c>
      <c r="C14" s="16">
        <v>20</v>
      </c>
      <c r="D14" s="16">
        <f>COUNTIF('Cart'!G4:G23,"Pass")</f>
        <v>18</v>
      </c>
      <c r="E14" s="16">
        <f>COUNTIF('Cart'!G4:G23,"Fail")</f>
        <v>2</v>
      </c>
      <c r="F14" s="16">
        <f>COUNTIF('Cart'!G4:G23,"Blocked")</f>
        <v>0</v>
      </c>
      <c r="G14" s="17">
        <f>D14/C14</f>
        <v>0.9</v>
      </c>
    </row>
    <row r="15" spans="2:7" x14ac:dyDescent="0.15">
      <c r="B15" s="12" t="s">
        <v>744</v>
      </c>
      <c r="C15" s="13">
        <v>20</v>
      </c>
      <c r="D15" s="13">
        <f>COUNTIF('Checkout'!G4:G23,"Pass")</f>
        <v>18</v>
      </c>
      <c r="E15" s="13">
        <f>COUNTIF('Checkout'!G4:G23,"Fail")</f>
        <v>2</v>
      </c>
      <c r="F15" s="13">
        <f>COUNTIF('Checkout'!G4:G23,"Blocked")</f>
        <v>0</v>
      </c>
      <c r="G15" s="14">
        <f>D15/C15</f>
        <v>0.9</v>
      </c>
    </row>
    <row r="16" spans="2:7" x14ac:dyDescent="0.15">
      <c r="B16" s="15" t="s">
        <v>745</v>
      </c>
      <c r="C16" s="16">
        <v>20</v>
      </c>
      <c r="D16" s="16">
        <f>COUNTIF('UI'!G4:G23,"Pass")</f>
        <v>17</v>
      </c>
      <c r="E16" s="16">
        <f>COUNTIF('UI'!G4:G23,"Fail")</f>
        <v>2</v>
      </c>
      <c r="F16" s="16">
        <f>COUNTIF('UI'!G4:G23,"Blocked")</f>
        <v>1</v>
      </c>
      <c r="G16" s="17">
        <f>D16/C16</f>
        <v>0.85</v>
      </c>
    </row>
    <row r="17" spans="2:7" x14ac:dyDescent="0.15">
      <c r="B17" s="18" t="s">
        <v>746</v>
      </c>
      <c r="C17" s="19">
        <f>SUM(C11:C16)</f>
        <v>120</v>
      </c>
      <c r="D17" s="19">
        <f>SUM(D11:D16)</f>
        <v>106</v>
      </c>
      <c r="E17" s="19">
        <f>SUM(E11:E16)</f>
        <v>13</v>
      </c>
      <c r="F17" s="19">
        <f>SUM(F11:F16)</f>
        <v>1</v>
      </c>
      <c r="G17" s="20">
        <f>D17/C17</f>
        <v>0.8833333333333333</v>
      </c>
    </row>
  </sheetData>
  <mergeCells count="10">
    <mergeCell ref="D6:E6"/>
    <mergeCell ref="B6:C6"/>
    <mergeCell ref="H6:I6"/>
    <mergeCell ref="B5:C5"/>
    <mergeCell ref="B2:I2"/>
    <mergeCell ref="F5:G5"/>
    <mergeCell ref="D5:E5"/>
    <mergeCell ref="B3:I3"/>
    <mergeCell ref="F6:G6"/>
    <mergeCell ref="H5:I5"/>
  </mergeCells>
  <phoneticPr fontId="0" type="noConversion"/>
  <pageMargins left="0.7499062639521802" right="0.7499062639521802" top="0.9998749560258521" bottom="0.9998749560258521" header="0.49993747801292604" footer="0.49993747801292604"/>
  <pageSetup paperSize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G23"/>
  <sheetViews>
    <sheetView zoomScaleNormal="100" topLeftCell="F1" workbookViewId="0">
      <selection activeCell="A1" activeCellId="0" sqref="A1"/>
    </sheetView>
  </sheetViews>
  <sheetFormatPr defaultRowHeight="15.0" defaultColWidth="9.0" x14ac:dyDescent="0.15"/>
  <cols>
    <col min="1" max="1" width="18.75" customWidth="1"/>
    <col min="2" max="2" width="37.5" customWidth="1"/>
    <col min="3" max="3" width="43.75" customWidth="1"/>
    <col min="4" max="4" width="31.25" customWidth="1"/>
    <col min="5" max="6" width="43.75" customWidth="1"/>
    <col min="7" max="7" width="15.0" customWidth="1"/>
  </cols>
  <sheetData>
    <row r="1" spans="1:7" ht="21.749668" customHeight="1" x14ac:dyDescent="0.15">
      <c r="A1" s="82" t="s">
        <v>0</v>
      </c>
      <c r="B1" s="26"/>
      <c r="C1" s="26"/>
      <c r="D1" s="26"/>
      <c r="E1" s="26"/>
      <c r="F1" s="26"/>
      <c r="G1" s="26"/>
    </row>
    <row r="2" spans="1:1" x14ac:dyDescent="0.15">
      <c r="A2" s="3" t="s">
        <v>1</v>
      </c>
    </row>
    <row r="3" spans="1:7" ht="28.0" customHeight="1" x14ac:dyDescent="0.1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</row>
    <row r="4" spans="1:7" ht="67.49897" customHeight="1" x14ac:dyDescent="0.15">
      <c r="A4" s="16" t="s">
        <v>9</v>
      </c>
      <c r="B4" s="15" t="s">
        <v>10</v>
      </c>
      <c r="C4" s="15" t="s">
        <v>11</v>
      </c>
      <c r="D4" s="15" t="s">
        <v>12</v>
      </c>
      <c r="E4" s="15" t="s">
        <v>13</v>
      </c>
      <c r="F4" s="15" t="s">
        <v>14</v>
      </c>
      <c r="G4" s="22" t="s">
        <v>15</v>
      </c>
    </row>
    <row r="5" spans="1:7" ht="53.999176" customHeight="1" x14ac:dyDescent="0.15">
      <c r="A5" s="13" t="s">
        <v>16</v>
      </c>
      <c r="B5" s="12" t="s">
        <v>17</v>
      </c>
      <c r="C5" s="12" t="s">
        <v>18</v>
      </c>
      <c r="D5" s="12" t="s">
        <v>19</v>
      </c>
      <c r="E5" s="12" t="s">
        <v>20</v>
      </c>
      <c r="F5" s="12" t="s">
        <v>21</v>
      </c>
      <c r="G5" s="22" t="s">
        <v>15</v>
      </c>
    </row>
    <row r="6" spans="1:7" ht="40.499382" customHeight="1" x14ac:dyDescent="0.15">
      <c r="A6" s="16" t="s">
        <v>22</v>
      </c>
      <c r="B6" s="15" t="s">
        <v>23</v>
      </c>
      <c r="C6" s="15" t="s">
        <v>24</v>
      </c>
      <c r="D6" s="15" t="s">
        <v>25</v>
      </c>
      <c r="E6" s="15" t="s">
        <v>26</v>
      </c>
      <c r="F6" s="15" t="s">
        <v>27</v>
      </c>
      <c r="G6" s="22" t="s">
        <v>15</v>
      </c>
    </row>
    <row r="7" spans="1:7" ht="53.999176" customHeight="1" x14ac:dyDescent="0.15">
      <c r="A7" s="13" t="s">
        <v>28</v>
      </c>
      <c r="B7" s="12" t="s">
        <v>29</v>
      </c>
      <c r="C7" s="12" t="s">
        <v>30</v>
      </c>
      <c r="D7" s="12" t="s">
        <v>31</v>
      </c>
      <c r="E7" s="12" t="s">
        <v>32</v>
      </c>
      <c r="F7" s="12" t="s">
        <v>33</v>
      </c>
      <c r="G7" s="22" t="s">
        <v>15</v>
      </c>
    </row>
    <row r="8" spans="1:7" ht="40.499382" customHeight="1" x14ac:dyDescent="0.15">
      <c r="A8" s="16" t="s">
        <v>34</v>
      </c>
      <c r="B8" s="15" t="s">
        <v>35</v>
      </c>
      <c r="C8" s="15" t="s">
        <v>36</v>
      </c>
      <c r="D8" s="15" t="s">
        <v>37</v>
      </c>
      <c r="E8" s="15" t="s">
        <v>38</v>
      </c>
      <c r="F8" s="15" t="s">
        <v>39</v>
      </c>
      <c r="G8" s="22" t="s">
        <v>15</v>
      </c>
    </row>
    <row r="9" spans="1:7" ht="40.499382" customHeight="1" x14ac:dyDescent="0.15">
      <c r="A9" s="13" t="s">
        <v>40</v>
      </c>
      <c r="B9" s="12" t="s">
        <v>41</v>
      </c>
      <c r="C9" s="12" t="s">
        <v>42</v>
      </c>
      <c r="D9" s="12" t="s">
        <v>43</v>
      </c>
      <c r="E9" s="12" t="s">
        <v>44</v>
      </c>
      <c r="F9" s="12" t="s">
        <v>45</v>
      </c>
      <c r="G9" s="22" t="s">
        <v>15</v>
      </c>
    </row>
    <row r="10" spans="1:7" ht="40.499382" customHeight="1" x14ac:dyDescent="0.15">
      <c r="A10" s="16" t="s">
        <v>46</v>
      </c>
      <c r="B10" s="15" t="s">
        <v>47</v>
      </c>
      <c r="C10" s="15" t="s">
        <v>48</v>
      </c>
      <c r="D10" s="15" t="s">
        <v>49</v>
      </c>
      <c r="E10" s="15" t="s">
        <v>50</v>
      </c>
      <c r="F10" s="15" t="s">
        <v>51</v>
      </c>
      <c r="G10" s="22" t="s">
        <v>15</v>
      </c>
    </row>
    <row r="11" spans="1:7" ht="40.499382" customHeight="1" x14ac:dyDescent="0.15">
      <c r="A11" s="13" t="s">
        <v>52</v>
      </c>
      <c r="B11" s="12" t="s">
        <v>53</v>
      </c>
      <c r="C11" s="12" t="s">
        <v>54</v>
      </c>
      <c r="D11" s="12" t="s">
        <v>55</v>
      </c>
      <c r="E11" s="12" t="s">
        <v>56</v>
      </c>
      <c r="F11" s="12" t="s">
        <v>51</v>
      </c>
      <c r="G11" s="22" t="s">
        <v>15</v>
      </c>
    </row>
    <row r="12" spans="1:7" ht="40.499382" customHeight="1" x14ac:dyDescent="0.15">
      <c r="A12" s="16" t="s">
        <v>57</v>
      </c>
      <c r="B12" s="15" t="s">
        <v>58</v>
      </c>
      <c r="C12" s="15" t="s">
        <v>59</v>
      </c>
      <c r="D12" s="15" t="s">
        <v>60</v>
      </c>
      <c r="E12" s="15" t="s">
        <v>61</v>
      </c>
      <c r="F12" s="15" t="s">
        <v>62</v>
      </c>
      <c r="G12" s="22" t="s">
        <v>15</v>
      </c>
    </row>
    <row r="13" spans="1:7" ht="40.499382" customHeight="1" x14ac:dyDescent="0.15">
      <c r="A13" s="13" t="s">
        <v>63</v>
      </c>
      <c r="B13" s="12" t="s">
        <v>64</v>
      </c>
      <c r="C13" s="12" t="s">
        <v>65</v>
      </c>
      <c r="D13" s="12" t="s">
        <v>66</v>
      </c>
      <c r="E13" s="12" t="s">
        <v>67</v>
      </c>
      <c r="F13" s="12" t="s">
        <v>68</v>
      </c>
      <c r="G13" s="23" t="s">
        <v>69</v>
      </c>
    </row>
    <row r="14" spans="1:7" ht="40.499382" customHeight="1" x14ac:dyDescent="0.15">
      <c r="A14" s="16" t="s">
        <v>70</v>
      </c>
      <c r="B14" s="15" t="s">
        <v>71</v>
      </c>
      <c r="C14" s="15" t="s">
        <v>72</v>
      </c>
      <c r="D14" s="15" t="s">
        <v>43</v>
      </c>
      <c r="E14" s="15" t="s">
        <v>73</v>
      </c>
      <c r="F14" s="15" t="s">
        <v>74</v>
      </c>
      <c r="G14" s="22" t="s">
        <v>15</v>
      </c>
    </row>
    <row r="15" spans="1:7" ht="40.499382" customHeight="1" x14ac:dyDescent="0.15">
      <c r="A15" s="13" t="s">
        <v>75</v>
      </c>
      <c r="B15" s="12" t="s">
        <v>76</v>
      </c>
      <c r="C15" s="12" t="s">
        <v>77</v>
      </c>
      <c r="D15" s="12" t="s">
        <v>43</v>
      </c>
      <c r="E15" s="12" t="s">
        <v>78</v>
      </c>
      <c r="F15" s="12" t="s">
        <v>79</v>
      </c>
      <c r="G15" s="22" t="s">
        <v>15</v>
      </c>
    </row>
    <row r="16" spans="1:7" ht="26.999588" customHeight="1" x14ac:dyDescent="0.15">
      <c r="A16" s="16" t="s">
        <v>80</v>
      </c>
      <c r="B16" s="15" t="s">
        <v>81</v>
      </c>
      <c r="C16" s="15" t="s">
        <v>82</v>
      </c>
      <c r="D16" s="15" t="s">
        <v>83</v>
      </c>
      <c r="E16" s="15" t="s">
        <v>84</v>
      </c>
      <c r="F16" s="15" t="s">
        <v>85</v>
      </c>
      <c r="G16" s="22" t="s">
        <v>15</v>
      </c>
    </row>
    <row r="17" spans="1:7" ht="40.499382" customHeight="1" x14ac:dyDescent="0.15">
      <c r="A17" s="13" t="s">
        <v>86</v>
      </c>
      <c r="B17" s="12" t="s">
        <v>87</v>
      </c>
      <c r="C17" s="12" t="s">
        <v>88</v>
      </c>
      <c r="D17" s="12" t="s">
        <v>89</v>
      </c>
      <c r="E17" s="12" t="s">
        <v>90</v>
      </c>
      <c r="F17" s="12" t="s">
        <v>91</v>
      </c>
      <c r="G17" s="22" t="s">
        <v>15</v>
      </c>
    </row>
    <row r="18" spans="1:7" ht="26.999588" customHeight="1" x14ac:dyDescent="0.15">
      <c r="A18" s="16" t="s">
        <v>92</v>
      </c>
      <c r="B18" s="15" t="s">
        <v>93</v>
      </c>
      <c r="C18" s="15" t="s">
        <v>94</v>
      </c>
      <c r="D18" s="15" t="s">
        <v>95</v>
      </c>
      <c r="E18" s="15" t="s">
        <v>96</v>
      </c>
      <c r="F18" s="15" t="s">
        <v>97</v>
      </c>
      <c r="G18" s="22" t="s">
        <v>15</v>
      </c>
    </row>
    <row r="19" spans="1:7" ht="26.999588" customHeight="1" x14ac:dyDescent="0.15">
      <c r="A19" s="13" t="s">
        <v>98</v>
      </c>
      <c r="B19" s="12" t="s">
        <v>99</v>
      </c>
      <c r="C19" s="12" t="s">
        <v>100</v>
      </c>
      <c r="D19" s="12" t="s">
        <v>101</v>
      </c>
      <c r="E19" s="12" t="s">
        <v>102</v>
      </c>
      <c r="F19" s="12" t="s">
        <v>103</v>
      </c>
      <c r="G19" s="23" t="s">
        <v>69</v>
      </c>
    </row>
    <row r="20" spans="1:7" ht="26.999588" customHeight="1" x14ac:dyDescent="0.15">
      <c r="A20" s="16" t="s">
        <v>104</v>
      </c>
      <c r="B20" s="15" t="s">
        <v>105</v>
      </c>
      <c r="C20" s="15" t="s">
        <v>106</v>
      </c>
      <c r="D20" s="15" t="s">
        <v>107</v>
      </c>
      <c r="E20" s="15" t="s">
        <v>108</v>
      </c>
      <c r="F20" s="15" t="s">
        <v>109</v>
      </c>
      <c r="G20" s="22" t="s">
        <v>15</v>
      </c>
    </row>
    <row r="21" spans="1:7" ht="26.999588" customHeight="1" x14ac:dyDescent="0.15">
      <c r="A21" s="13" t="s">
        <v>110</v>
      </c>
      <c r="B21" s="12" t="s">
        <v>111</v>
      </c>
      <c r="C21" s="12" t="s">
        <v>112</v>
      </c>
      <c r="D21" s="12" t="s">
        <v>113</v>
      </c>
      <c r="E21" s="12" t="s">
        <v>114</v>
      </c>
      <c r="F21" s="12" t="s">
        <v>115</v>
      </c>
      <c r="G21" s="22" t="s">
        <v>15</v>
      </c>
    </row>
    <row r="22" spans="1:7" ht="26.999588" customHeight="1" x14ac:dyDescent="0.15">
      <c r="A22" s="16" t="s">
        <v>116</v>
      </c>
      <c r="B22" s="15" t="s">
        <v>117</v>
      </c>
      <c r="C22" s="15" t="s">
        <v>118</v>
      </c>
      <c r="D22" s="15" t="s">
        <v>119</v>
      </c>
      <c r="E22" s="15" t="s">
        <v>120</v>
      </c>
      <c r="F22" s="15" t="s">
        <v>121</v>
      </c>
      <c r="G22" s="22" t="s">
        <v>15</v>
      </c>
    </row>
    <row r="23" spans="1:7" ht="26.999588" customHeight="1" x14ac:dyDescent="0.15">
      <c r="A23" s="13" t="s">
        <v>122</v>
      </c>
      <c r="B23" s="12" t="s">
        <v>123</v>
      </c>
      <c r="C23" s="12" t="s">
        <v>124</v>
      </c>
      <c r="D23" s="12" t="s">
        <v>125</v>
      </c>
      <c r="E23" s="12" t="s">
        <v>126</v>
      </c>
      <c r="F23" s="12" t="s">
        <v>127</v>
      </c>
      <c r="G23" s="22" t="s">
        <v>15</v>
      </c>
    </row>
  </sheetData>
  <autoFilter ref="A3:G23"/>
  <mergeCells count="1">
    <mergeCell ref="A1:G1"/>
  </mergeCells>
  <phoneticPr fontId="0" type="noConversion"/>
  <conditionalFormatting sqref="G4:G23">
    <cfRule type="cellIs" stopIfTrue="1" priority="1" operator="equal" dxfId="0">
      <formula>"Pass"</formula>
    </cfRule>
    <cfRule type="cellIs" stopIfTrue="1" priority="2" operator="equal" dxfId="1">
      <formula>"Fail"</formula>
    </cfRule>
    <cfRule type="cellIs" stopIfTrue="1" priority="3" operator="equal" dxfId="2">
      <formula>"Blocked"</formula>
    </cfRule>
  </conditionalFormatting>
  <pageMargins left="0.7499062639521802" right="0.7499062639521802" top="0.9998749560258521" bottom="0.9998749560258521" header="0.49993747801292604" footer="0.49993747801292604"/>
  <pageSetup paperSize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G23"/>
  <sheetViews>
    <sheetView zoomScaleNormal="100" topLeftCell="F3" workbookViewId="0">
      <selection activeCell="A1" activeCellId="0" sqref="A1"/>
    </sheetView>
  </sheetViews>
  <sheetFormatPr defaultRowHeight="15.0" defaultColWidth="9.0" x14ac:dyDescent="0.15"/>
  <cols>
    <col min="1" max="1" width="18.75" customWidth="1"/>
    <col min="2" max="2" width="37.5" customWidth="1"/>
    <col min="3" max="3" width="43.75" customWidth="1"/>
    <col min="4" max="4" width="31.25" customWidth="1"/>
    <col min="5" max="6" width="43.75" customWidth="1"/>
    <col min="7" max="7" width="15.0" customWidth="1"/>
  </cols>
  <sheetData>
    <row r="1" spans="1:7" x14ac:dyDescent="0.15">
      <c r="A1" s="82" t="s">
        <v>128</v>
      </c>
      <c r="B1" s="26"/>
      <c r="C1" s="26"/>
      <c r="D1" s="26"/>
      <c r="E1" s="26"/>
      <c r="F1" s="26"/>
      <c r="G1" s="26"/>
    </row>
    <row r="2" spans="1:1" x14ac:dyDescent="0.15">
      <c r="A2" s="3" t="s">
        <v>1</v>
      </c>
    </row>
    <row r="3" spans="1:7" ht="28.0" customHeight="1" x14ac:dyDescent="0.1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</row>
    <row r="4" spans="1:7" ht="15.0" customHeight="1" x14ac:dyDescent="0.15">
      <c r="A4" s="16" t="s">
        <v>129</v>
      </c>
      <c r="B4" s="15" t="s">
        <v>130</v>
      </c>
      <c r="C4" s="15" t="s">
        <v>131</v>
      </c>
      <c r="D4" s="15" t="s">
        <v>132</v>
      </c>
      <c r="E4" s="15" t="s">
        <v>133</v>
      </c>
      <c r="F4" s="15" t="s">
        <v>134</v>
      </c>
      <c r="G4" s="22" t="s">
        <v>15</v>
      </c>
    </row>
    <row r="5" spans="1:7" ht="15.0" customHeight="1" x14ac:dyDescent="0.15">
      <c r="A5" s="13" t="s">
        <v>135</v>
      </c>
      <c r="B5" s="12" t="s">
        <v>136</v>
      </c>
      <c r="C5" s="12" t="s">
        <v>137</v>
      </c>
      <c r="D5" s="12" t="s">
        <v>138</v>
      </c>
      <c r="E5" s="12" t="s">
        <v>139</v>
      </c>
      <c r="F5" s="12" t="s">
        <v>140</v>
      </c>
      <c r="G5" s="22" t="s">
        <v>15</v>
      </c>
    </row>
    <row r="6" spans="1:7" ht="15.0" customHeight="1" x14ac:dyDescent="0.15">
      <c r="A6" s="16" t="s">
        <v>141</v>
      </c>
      <c r="B6" s="15" t="s">
        <v>142</v>
      </c>
      <c r="C6" s="15" t="s">
        <v>143</v>
      </c>
      <c r="D6" s="15" t="s">
        <v>144</v>
      </c>
      <c r="E6" s="15" t="s">
        <v>145</v>
      </c>
      <c r="F6" s="15" t="s">
        <v>146</v>
      </c>
      <c r="G6" s="22" t="s">
        <v>15</v>
      </c>
    </row>
    <row r="7" spans="1:7" ht="15.0" customHeight="1" x14ac:dyDescent="0.15">
      <c r="A7" s="13" t="s">
        <v>147</v>
      </c>
      <c r="B7" s="12" t="s">
        <v>148</v>
      </c>
      <c r="C7" s="12" t="s">
        <v>149</v>
      </c>
      <c r="D7" s="12" t="s">
        <v>150</v>
      </c>
      <c r="E7" s="12" t="s">
        <v>151</v>
      </c>
      <c r="F7" s="12" t="s">
        <v>140</v>
      </c>
      <c r="G7" s="22" t="s">
        <v>15</v>
      </c>
    </row>
    <row r="8" spans="1:7" ht="15.0" customHeight="1" x14ac:dyDescent="0.15">
      <c r="A8" s="16" t="s">
        <v>152</v>
      </c>
      <c r="B8" s="15" t="s">
        <v>153</v>
      </c>
      <c r="C8" s="15" t="s">
        <v>154</v>
      </c>
      <c r="D8" s="15" t="s">
        <v>155</v>
      </c>
      <c r="E8" s="15" t="s">
        <v>156</v>
      </c>
      <c r="F8" s="15" t="s">
        <v>157</v>
      </c>
      <c r="G8" s="22" t="s">
        <v>15</v>
      </c>
    </row>
    <row r="9" spans="1:7" ht="15.0" customHeight="1" x14ac:dyDescent="0.15">
      <c r="A9" s="13" t="s">
        <v>158</v>
      </c>
      <c r="B9" s="12" t="s">
        <v>159</v>
      </c>
      <c r="C9" s="12" t="s">
        <v>160</v>
      </c>
      <c r="D9" s="12" t="s">
        <v>161</v>
      </c>
      <c r="E9" s="12" t="s">
        <v>162</v>
      </c>
      <c r="F9" s="12" t="s">
        <v>163</v>
      </c>
      <c r="G9" s="23" t="s">
        <v>69</v>
      </c>
    </row>
    <row r="10" spans="1:7" ht="15.0" customHeight="1" x14ac:dyDescent="0.15">
      <c r="A10" s="16" t="s">
        <v>164</v>
      </c>
      <c r="B10" s="15" t="s">
        <v>165</v>
      </c>
      <c r="C10" s="15" t="s">
        <v>166</v>
      </c>
      <c r="D10" s="15" t="s">
        <v>167</v>
      </c>
      <c r="E10" s="15" t="s">
        <v>168</v>
      </c>
      <c r="F10" s="15" t="s">
        <v>169</v>
      </c>
      <c r="G10" s="22" t="s">
        <v>15</v>
      </c>
    </row>
    <row r="11" spans="1:7" ht="15.0" customHeight="1" x14ac:dyDescent="0.15">
      <c r="A11" s="13" t="s">
        <v>170</v>
      </c>
      <c r="B11" s="12" t="s">
        <v>171</v>
      </c>
      <c r="C11" s="12" t="s">
        <v>172</v>
      </c>
      <c r="D11" s="12" t="s">
        <v>173</v>
      </c>
      <c r="E11" s="12" t="s">
        <v>174</v>
      </c>
      <c r="F11" s="12" t="s">
        <v>175</v>
      </c>
      <c r="G11" s="23" t="s">
        <v>69</v>
      </c>
    </row>
    <row r="12" spans="1:7" ht="15.0" customHeight="1" x14ac:dyDescent="0.15">
      <c r="A12" s="16" t="s">
        <v>176</v>
      </c>
      <c r="B12" s="15" t="s">
        <v>177</v>
      </c>
      <c r="C12" s="15" t="s">
        <v>178</v>
      </c>
      <c r="D12" s="15" t="s">
        <v>179</v>
      </c>
      <c r="E12" s="15" t="s">
        <v>180</v>
      </c>
      <c r="F12" s="15" t="s">
        <v>181</v>
      </c>
      <c r="G12" s="22" t="s">
        <v>15</v>
      </c>
    </row>
    <row r="13" spans="1:7" ht="15.0" customHeight="1" x14ac:dyDescent="0.15">
      <c r="A13" s="13" t="s">
        <v>182</v>
      </c>
      <c r="B13" s="12" t="s">
        <v>183</v>
      </c>
      <c r="C13" s="12" t="s">
        <v>184</v>
      </c>
      <c r="D13" s="12" t="s">
        <v>185</v>
      </c>
      <c r="E13" s="12" t="s">
        <v>186</v>
      </c>
      <c r="F13" s="12" t="s">
        <v>187</v>
      </c>
      <c r="G13" s="22" t="s">
        <v>15</v>
      </c>
    </row>
    <row r="14" spans="1:7" ht="15.0" customHeight="1" x14ac:dyDescent="0.15">
      <c r="A14" s="16" t="s">
        <v>188</v>
      </c>
      <c r="B14" s="15" t="s">
        <v>189</v>
      </c>
      <c r="C14" s="15" t="s">
        <v>190</v>
      </c>
      <c r="D14" s="15" t="s">
        <v>191</v>
      </c>
      <c r="E14" s="15" t="s">
        <v>192</v>
      </c>
      <c r="F14" s="15" t="s">
        <v>193</v>
      </c>
      <c r="G14" s="23" t="s">
        <v>69</v>
      </c>
    </row>
    <row r="15" spans="1:7" ht="15.0" customHeight="1" x14ac:dyDescent="0.15">
      <c r="A15" s="13" t="s">
        <v>194</v>
      </c>
      <c r="B15" s="12" t="s">
        <v>195</v>
      </c>
      <c r="C15" s="12" t="s">
        <v>196</v>
      </c>
      <c r="D15" s="12" t="s">
        <v>197</v>
      </c>
      <c r="E15" s="12" t="s">
        <v>198</v>
      </c>
      <c r="F15" s="12" t="s">
        <v>199</v>
      </c>
      <c r="G15" s="22" t="s">
        <v>15</v>
      </c>
    </row>
    <row r="16" spans="1:7" ht="15.0" customHeight="1" x14ac:dyDescent="0.15">
      <c r="A16" s="16" t="s">
        <v>200</v>
      </c>
      <c r="B16" s="15" t="s">
        <v>201</v>
      </c>
      <c r="C16" s="15" t="s">
        <v>202</v>
      </c>
      <c r="D16" s="15" t="s">
        <v>203</v>
      </c>
      <c r="E16" s="15" t="s">
        <v>204</v>
      </c>
      <c r="F16" s="15" t="s">
        <v>205</v>
      </c>
      <c r="G16" s="22" t="s">
        <v>15</v>
      </c>
    </row>
    <row r="17" spans="1:7" ht="15.0" customHeight="1" x14ac:dyDescent="0.15">
      <c r="A17" s="13" t="s">
        <v>206</v>
      </c>
      <c r="B17" s="12" t="s">
        <v>207</v>
      </c>
      <c r="C17" s="12" t="s">
        <v>208</v>
      </c>
      <c r="D17" s="12" t="s">
        <v>209</v>
      </c>
      <c r="E17" s="12" t="s">
        <v>210</v>
      </c>
      <c r="F17" s="12" t="s">
        <v>211</v>
      </c>
      <c r="G17" s="22" t="s">
        <v>15</v>
      </c>
    </row>
    <row r="18" spans="1:7" ht="15.0" customHeight="1" x14ac:dyDescent="0.15">
      <c r="A18" s="16" t="s">
        <v>212</v>
      </c>
      <c r="B18" s="15" t="s">
        <v>213</v>
      </c>
      <c r="C18" s="15" t="s">
        <v>214</v>
      </c>
      <c r="D18" s="15" t="s">
        <v>215</v>
      </c>
      <c r="E18" s="15" t="s">
        <v>216</v>
      </c>
      <c r="F18" s="15" t="s">
        <v>217</v>
      </c>
      <c r="G18" s="22" t="s">
        <v>15</v>
      </c>
    </row>
    <row r="19" spans="1:7" ht="15.0" customHeight="1" x14ac:dyDescent="0.15">
      <c r="A19" s="13" t="s">
        <v>218</v>
      </c>
      <c r="B19" s="12" t="s">
        <v>219</v>
      </c>
      <c r="C19" s="12" t="s">
        <v>220</v>
      </c>
      <c r="D19" s="12" t="s">
        <v>221</v>
      </c>
      <c r="E19" s="12" t="s">
        <v>222</v>
      </c>
      <c r="F19" s="12" t="s">
        <v>223</v>
      </c>
      <c r="G19" s="22" t="s">
        <v>15</v>
      </c>
    </row>
    <row r="20" spans="1:7" ht="15.0" customHeight="1" x14ac:dyDescent="0.15">
      <c r="A20" s="16" t="s">
        <v>224</v>
      </c>
      <c r="B20" s="15" t="s">
        <v>225</v>
      </c>
      <c r="C20" s="15" t="s">
        <v>226</v>
      </c>
      <c r="D20" s="15" t="s">
        <v>227</v>
      </c>
      <c r="E20" s="15" t="s">
        <v>228</v>
      </c>
      <c r="F20" s="15" t="s">
        <v>229</v>
      </c>
      <c r="G20" s="22" t="s">
        <v>15</v>
      </c>
    </row>
    <row r="21" spans="1:7" ht="15.0" customHeight="1" x14ac:dyDescent="0.15">
      <c r="A21" s="13" t="s">
        <v>230</v>
      </c>
      <c r="B21" s="12" t="s">
        <v>231</v>
      </c>
      <c r="C21" s="12" t="s">
        <v>232</v>
      </c>
      <c r="D21" s="12" t="s">
        <v>233</v>
      </c>
      <c r="E21" s="12" t="s">
        <v>234</v>
      </c>
      <c r="F21" s="12" t="s">
        <v>235</v>
      </c>
      <c r="G21" s="22" t="s">
        <v>15</v>
      </c>
    </row>
    <row r="22" spans="1:7" ht="15.0" customHeight="1" x14ac:dyDescent="0.15">
      <c r="A22" s="16" t="s">
        <v>236</v>
      </c>
      <c r="B22" s="15" t="s">
        <v>237</v>
      </c>
      <c r="C22" s="15" t="s">
        <v>238</v>
      </c>
      <c r="D22" s="15" t="s">
        <v>239</v>
      </c>
      <c r="E22" s="15" t="s">
        <v>240</v>
      </c>
      <c r="F22" s="15" t="s">
        <v>241</v>
      </c>
      <c r="G22" s="22" t="s">
        <v>15</v>
      </c>
    </row>
    <row r="23" spans="1:7" ht="15.0" customHeight="1" x14ac:dyDescent="0.15">
      <c r="A23" s="13" t="s">
        <v>242</v>
      </c>
      <c r="B23" s="12" t="s">
        <v>243</v>
      </c>
      <c r="C23" s="12" t="s">
        <v>244</v>
      </c>
      <c r="D23" s="12" t="s">
        <v>245</v>
      </c>
      <c r="E23" s="12" t="s">
        <v>246</v>
      </c>
      <c r="F23" s="12" t="s">
        <v>247</v>
      </c>
      <c r="G23" s="22" t="s">
        <v>15</v>
      </c>
    </row>
  </sheetData>
  <autoFilter ref="A3:G23"/>
  <mergeCells count="1">
    <mergeCell ref="A1:G1"/>
  </mergeCells>
  <phoneticPr fontId="0" type="noConversion"/>
  <conditionalFormatting sqref="G4:G23">
    <cfRule type="cellIs" stopIfTrue="1" priority="1" operator="equal" dxfId="0">
      <formula>"Pass"</formula>
    </cfRule>
    <cfRule type="cellIs" stopIfTrue="1" priority="2" operator="equal" dxfId="1">
      <formula>"Fail"</formula>
    </cfRule>
    <cfRule type="cellIs" stopIfTrue="1" priority="3" operator="equal" dxfId="2">
      <formula>"Blocked"</formula>
    </cfRule>
  </conditionalFormatting>
  <pageMargins left="0.7499062639521802" right="0.7499062639521802" top="0.9998749560258521" bottom="0.9998749560258521" header="0.49993747801292604" footer="0.49993747801292604"/>
  <pageSetup paperSize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G23"/>
  <sheetViews>
    <sheetView zoomScaleNormal="100" topLeftCell="F3" workbookViewId="0">
      <selection activeCell="A1" activeCellId="0" sqref="A1"/>
    </sheetView>
  </sheetViews>
  <sheetFormatPr defaultRowHeight="15.0" defaultColWidth="9.0" x14ac:dyDescent="0.15"/>
  <cols>
    <col min="1" max="1" width="18.75" customWidth="1"/>
    <col min="2" max="2" width="37.5" customWidth="1"/>
    <col min="3" max="3" width="43.75" customWidth="1"/>
    <col min="4" max="4" width="31.25" customWidth="1"/>
    <col min="5" max="6" width="43.75" customWidth="1"/>
    <col min="7" max="7" width="15.0" customWidth="1"/>
  </cols>
  <sheetData>
    <row r="1" spans="1:7" x14ac:dyDescent="0.15">
      <c r="A1" s="82" t="s">
        <v>248</v>
      </c>
      <c r="B1" s="26"/>
      <c r="C1" s="26"/>
      <c r="D1" s="26"/>
      <c r="E1" s="26"/>
      <c r="F1" s="26"/>
      <c r="G1" s="26"/>
    </row>
    <row r="2" spans="1:1" x14ac:dyDescent="0.15">
      <c r="A2" s="3" t="s">
        <v>1</v>
      </c>
    </row>
    <row r="3" spans="1:7" ht="28.0" customHeight="1" x14ac:dyDescent="0.1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</row>
    <row r="4" spans="1:7" ht="15.0" customHeight="1" x14ac:dyDescent="0.15">
      <c r="A4" s="16" t="s">
        <v>249</v>
      </c>
      <c r="B4" s="15" t="s">
        <v>250</v>
      </c>
      <c r="C4" s="15" t="s">
        <v>251</v>
      </c>
      <c r="D4" s="15" t="s">
        <v>252</v>
      </c>
      <c r="E4" s="15" t="s">
        <v>253</v>
      </c>
      <c r="F4" s="15" t="s">
        <v>254</v>
      </c>
      <c r="G4" s="22" t="s">
        <v>15</v>
      </c>
    </row>
    <row r="5" spans="1:7" ht="15.0" customHeight="1" x14ac:dyDescent="0.15">
      <c r="A5" s="13" t="s">
        <v>255</v>
      </c>
      <c r="B5" s="12" t="s">
        <v>256</v>
      </c>
      <c r="C5" s="12" t="s">
        <v>257</v>
      </c>
      <c r="D5" s="12" t="s">
        <v>258</v>
      </c>
      <c r="E5" s="12" t="s">
        <v>259</v>
      </c>
      <c r="F5" s="12" t="s">
        <v>260</v>
      </c>
      <c r="G5" s="22" t="s">
        <v>15</v>
      </c>
    </row>
    <row r="6" spans="1:7" ht="15.0" customHeight="1" x14ac:dyDescent="0.15">
      <c r="A6" s="16" t="s">
        <v>261</v>
      </c>
      <c r="B6" s="15" t="s">
        <v>262</v>
      </c>
      <c r="C6" s="15" t="s">
        <v>263</v>
      </c>
      <c r="D6" s="15" t="s">
        <v>264</v>
      </c>
      <c r="E6" s="15" t="s">
        <v>265</v>
      </c>
      <c r="F6" s="15" t="s">
        <v>266</v>
      </c>
      <c r="G6" s="22" t="s">
        <v>15</v>
      </c>
    </row>
    <row r="7" spans="1:7" ht="15.0" customHeight="1" x14ac:dyDescent="0.15">
      <c r="A7" s="13" t="s">
        <v>267</v>
      </c>
      <c r="B7" s="12" t="s">
        <v>268</v>
      </c>
      <c r="C7" s="12" t="s">
        <v>269</v>
      </c>
      <c r="D7" s="12" t="s">
        <v>270</v>
      </c>
      <c r="E7" s="12" t="s">
        <v>271</v>
      </c>
      <c r="F7" s="12" t="s">
        <v>272</v>
      </c>
      <c r="G7" s="22" t="s">
        <v>15</v>
      </c>
    </row>
    <row r="8" spans="1:7" ht="15.0" customHeight="1" x14ac:dyDescent="0.15">
      <c r="A8" s="16" t="s">
        <v>273</v>
      </c>
      <c r="B8" s="15" t="s">
        <v>274</v>
      </c>
      <c r="C8" s="15" t="s">
        <v>275</v>
      </c>
      <c r="D8" s="15" t="s">
        <v>276</v>
      </c>
      <c r="E8" s="15" t="s">
        <v>277</v>
      </c>
      <c r="F8" s="15" t="s">
        <v>278</v>
      </c>
      <c r="G8" s="22" t="s">
        <v>15</v>
      </c>
    </row>
    <row r="9" spans="1:7" ht="15.0" customHeight="1" x14ac:dyDescent="0.15">
      <c r="A9" s="13" t="s">
        <v>279</v>
      </c>
      <c r="B9" s="12" t="s">
        <v>280</v>
      </c>
      <c r="C9" s="12" t="s">
        <v>281</v>
      </c>
      <c r="D9" s="12" t="s">
        <v>282</v>
      </c>
      <c r="E9" s="12" t="s">
        <v>283</v>
      </c>
      <c r="F9" s="12" t="s">
        <v>284</v>
      </c>
      <c r="G9" s="22" t="s">
        <v>15</v>
      </c>
    </row>
    <row r="10" spans="1:7" ht="15.0" customHeight="1" x14ac:dyDescent="0.15">
      <c r="A10" s="16" t="s">
        <v>285</v>
      </c>
      <c r="B10" s="15" t="s">
        <v>286</v>
      </c>
      <c r="C10" s="15" t="s">
        <v>287</v>
      </c>
      <c r="D10" s="15" t="s">
        <v>288</v>
      </c>
      <c r="E10" s="15" t="s">
        <v>289</v>
      </c>
      <c r="F10" s="15" t="s">
        <v>290</v>
      </c>
      <c r="G10" s="22" t="s">
        <v>15</v>
      </c>
    </row>
    <row r="11" spans="1:7" ht="15.0" customHeight="1" x14ac:dyDescent="0.15">
      <c r="A11" s="13" t="s">
        <v>291</v>
      </c>
      <c r="B11" s="12" t="s">
        <v>292</v>
      </c>
      <c r="C11" s="12" t="s">
        <v>293</v>
      </c>
      <c r="D11" s="12" t="s">
        <v>294</v>
      </c>
      <c r="E11" s="12" t="s">
        <v>295</v>
      </c>
      <c r="F11" s="12" t="s">
        <v>296</v>
      </c>
      <c r="G11" s="22" t="s">
        <v>15</v>
      </c>
    </row>
    <row r="12" spans="1:7" ht="15.0" customHeight="1" x14ac:dyDescent="0.15">
      <c r="A12" s="16" t="s">
        <v>297</v>
      </c>
      <c r="B12" s="15" t="s">
        <v>298</v>
      </c>
      <c r="C12" s="15" t="s">
        <v>299</v>
      </c>
      <c r="D12" s="15" t="s">
        <v>300</v>
      </c>
      <c r="E12" s="15" t="s">
        <v>301</v>
      </c>
      <c r="F12" s="15" t="s">
        <v>302</v>
      </c>
      <c r="G12" s="23" t="s">
        <v>69</v>
      </c>
    </row>
    <row r="13" spans="1:7" ht="15.0" customHeight="1" x14ac:dyDescent="0.15">
      <c r="A13" s="13" t="s">
        <v>303</v>
      </c>
      <c r="B13" s="12" t="s">
        <v>304</v>
      </c>
      <c r="C13" s="12" t="s">
        <v>305</v>
      </c>
      <c r="D13" s="12" t="s">
        <v>306</v>
      </c>
      <c r="E13" s="12" t="s">
        <v>307</v>
      </c>
      <c r="F13" s="12" t="s">
        <v>308</v>
      </c>
      <c r="G13" s="22" t="s">
        <v>15</v>
      </c>
    </row>
    <row r="14" spans="1:7" ht="15.0" customHeight="1" x14ac:dyDescent="0.15">
      <c r="A14" s="16" t="s">
        <v>309</v>
      </c>
      <c r="B14" s="15" t="s">
        <v>310</v>
      </c>
      <c r="C14" s="15" t="s">
        <v>311</v>
      </c>
      <c r="D14" s="15" t="s">
        <v>312</v>
      </c>
      <c r="E14" s="15" t="s">
        <v>313</v>
      </c>
      <c r="F14" s="15" t="s">
        <v>314</v>
      </c>
      <c r="G14" s="22" t="s">
        <v>15</v>
      </c>
    </row>
    <row r="15" spans="1:7" ht="15.0" customHeight="1" x14ac:dyDescent="0.15">
      <c r="A15" s="13" t="s">
        <v>315</v>
      </c>
      <c r="B15" s="12" t="s">
        <v>316</v>
      </c>
      <c r="C15" s="12" t="s">
        <v>317</v>
      </c>
      <c r="D15" s="12" t="s">
        <v>312</v>
      </c>
      <c r="E15" s="12" t="s">
        <v>318</v>
      </c>
      <c r="F15" s="12" t="s">
        <v>319</v>
      </c>
      <c r="G15" s="22" t="s">
        <v>15</v>
      </c>
    </row>
    <row r="16" spans="1:7" ht="15.0" customHeight="1" x14ac:dyDescent="0.15">
      <c r="A16" s="16" t="s">
        <v>320</v>
      </c>
      <c r="B16" s="15" t="s">
        <v>321</v>
      </c>
      <c r="C16" s="15" t="s">
        <v>322</v>
      </c>
      <c r="D16" s="15" t="s">
        <v>312</v>
      </c>
      <c r="E16" s="15" t="s">
        <v>323</v>
      </c>
      <c r="F16" s="15" t="s">
        <v>324</v>
      </c>
      <c r="G16" s="22" t="s">
        <v>15</v>
      </c>
    </row>
    <row r="17" spans="1:7" ht="15.0" customHeight="1" x14ac:dyDescent="0.15">
      <c r="A17" s="13" t="s">
        <v>325</v>
      </c>
      <c r="B17" s="12" t="s">
        <v>326</v>
      </c>
      <c r="C17" s="12" t="s">
        <v>327</v>
      </c>
      <c r="D17" s="12" t="s">
        <v>312</v>
      </c>
      <c r="E17" s="12" t="s">
        <v>328</v>
      </c>
      <c r="F17" s="12" t="s">
        <v>329</v>
      </c>
      <c r="G17" s="22" t="s">
        <v>15</v>
      </c>
    </row>
    <row r="18" spans="1:7" ht="15.0" customHeight="1" x14ac:dyDescent="0.15">
      <c r="A18" s="16" t="s">
        <v>330</v>
      </c>
      <c r="B18" s="15" t="s">
        <v>331</v>
      </c>
      <c r="C18" s="15" t="s">
        <v>332</v>
      </c>
      <c r="D18" s="15" t="s">
        <v>333</v>
      </c>
      <c r="E18" s="15" t="s">
        <v>334</v>
      </c>
      <c r="F18" s="15" t="s">
        <v>335</v>
      </c>
      <c r="G18" s="22" t="s">
        <v>15</v>
      </c>
    </row>
    <row r="19" spans="1:7" ht="15.0" customHeight="1" x14ac:dyDescent="0.15">
      <c r="A19" s="13" t="s">
        <v>336</v>
      </c>
      <c r="B19" s="12" t="s">
        <v>337</v>
      </c>
      <c r="C19" s="12" t="s">
        <v>338</v>
      </c>
      <c r="D19" s="12" t="s">
        <v>333</v>
      </c>
      <c r="E19" s="12" t="s">
        <v>339</v>
      </c>
      <c r="F19" s="12" t="s">
        <v>340</v>
      </c>
      <c r="G19" s="22" t="s">
        <v>15</v>
      </c>
    </row>
    <row r="20" spans="1:7" ht="15.0" customHeight="1" x14ac:dyDescent="0.15">
      <c r="A20" s="16" t="s">
        <v>341</v>
      </c>
      <c r="B20" s="15" t="s">
        <v>342</v>
      </c>
      <c r="C20" s="15" t="s">
        <v>343</v>
      </c>
      <c r="D20" s="15" t="s">
        <v>344</v>
      </c>
      <c r="E20" s="15" t="s">
        <v>345</v>
      </c>
      <c r="F20" s="15" t="s">
        <v>346</v>
      </c>
      <c r="G20" s="22" t="s">
        <v>15</v>
      </c>
    </row>
    <row r="21" spans="1:7" ht="15.0" customHeight="1" x14ac:dyDescent="0.15">
      <c r="A21" s="13" t="s">
        <v>347</v>
      </c>
      <c r="B21" s="12" t="s">
        <v>348</v>
      </c>
      <c r="C21" s="12" t="s">
        <v>349</v>
      </c>
      <c r="D21" s="12" t="s">
        <v>350</v>
      </c>
      <c r="E21" s="12" t="s">
        <v>351</v>
      </c>
      <c r="F21" s="12" t="s">
        <v>352</v>
      </c>
      <c r="G21" s="22" t="s">
        <v>15</v>
      </c>
    </row>
    <row r="22" spans="1:7" ht="15.0" customHeight="1" x14ac:dyDescent="0.15">
      <c r="A22" s="16" t="s">
        <v>353</v>
      </c>
      <c r="B22" s="15" t="s">
        <v>354</v>
      </c>
      <c r="C22" s="15" t="s">
        <v>355</v>
      </c>
      <c r="D22" s="15" t="s">
        <v>356</v>
      </c>
      <c r="E22" s="15" t="s">
        <v>357</v>
      </c>
      <c r="F22" s="15" t="s">
        <v>358</v>
      </c>
      <c r="G22" s="23" t="s">
        <v>69</v>
      </c>
    </row>
    <row r="23" spans="1:7" ht="15.0" customHeight="1" x14ac:dyDescent="0.15">
      <c r="A23" s="13" t="s">
        <v>359</v>
      </c>
      <c r="B23" s="12" t="s">
        <v>360</v>
      </c>
      <c r="C23" s="12" t="s">
        <v>361</v>
      </c>
      <c r="D23" s="12" t="s">
        <v>362</v>
      </c>
      <c r="E23" s="12" t="s">
        <v>363</v>
      </c>
      <c r="F23" s="12" t="s">
        <v>364</v>
      </c>
      <c r="G23" s="22" t="s">
        <v>15</v>
      </c>
    </row>
  </sheetData>
  <autoFilter ref="A3:G23"/>
  <mergeCells count="1">
    <mergeCell ref="A1:G1"/>
  </mergeCells>
  <phoneticPr fontId="0" type="noConversion"/>
  <conditionalFormatting sqref="G4:G23">
    <cfRule type="cellIs" stopIfTrue="1" priority="1" operator="equal" dxfId="0">
      <formula>"Pass"</formula>
    </cfRule>
    <cfRule type="cellIs" stopIfTrue="1" priority="2" operator="equal" dxfId="1">
      <formula>"Fail"</formula>
    </cfRule>
    <cfRule type="cellIs" stopIfTrue="1" priority="3" operator="equal" dxfId="2">
      <formula>"Blocked"</formula>
    </cfRule>
  </conditionalFormatting>
  <pageMargins left="0.7499062639521802" right="0.7499062639521802" top="0.9998749560258521" bottom="0.9998749560258521" header="0.49993747801292604" footer="0.49993747801292604"/>
  <pageSetup paperSize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G23"/>
  <sheetViews>
    <sheetView zoomScaleNormal="100" topLeftCell="F9" workbookViewId="0">
      <selection activeCell="A1" activeCellId="0" sqref="A1"/>
    </sheetView>
  </sheetViews>
  <sheetFormatPr defaultRowHeight="15.0" defaultColWidth="9.0" x14ac:dyDescent="0.15"/>
  <cols>
    <col min="1" max="1" width="18.75" customWidth="1"/>
    <col min="2" max="2" width="37.5" customWidth="1"/>
    <col min="3" max="3" width="43.75" customWidth="1"/>
    <col min="4" max="4" width="31.25" customWidth="1"/>
    <col min="5" max="6" width="43.75" customWidth="1"/>
    <col min="7" max="7" width="15.0" customWidth="1"/>
  </cols>
  <sheetData>
    <row r="1" spans="1:7" x14ac:dyDescent="0.15">
      <c r="A1" s="82" t="s">
        <v>365</v>
      </c>
      <c r="B1" s="26"/>
      <c r="C1" s="26"/>
      <c r="D1" s="26"/>
      <c r="E1" s="26"/>
      <c r="F1" s="26"/>
      <c r="G1" s="26"/>
    </row>
    <row r="2" spans="1:1" x14ac:dyDescent="0.15">
      <c r="A2" s="3" t="s">
        <v>1</v>
      </c>
    </row>
    <row r="3" spans="1:7" ht="28.0" customHeight="1" x14ac:dyDescent="0.1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</row>
    <row r="4" spans="1:7" ht="15.0" customHeight="1" x14ac:dyDescent="0.15">
      <c r="A4" s="16" t="s">
        <v>366</v>
      </c>
      <c r="B4" s="15" t="s">
        <v>367</v>
      </c>
      <c r="C4" s="15" t="s">
        <v>368</v>
      </c>
      <c r="D4" s="15" t="s">
        <v>369</v>
      </c>
      <c r="E4" s="15" t="s">
        <v>370</v>
      </c>
      <c r="F4" s="15" t="s">
        <v>371</v>
      </c>
      <c r="G4" s="22" t="s">
        <v>15</v>
      </c>
    </row>
    <row r="5" spans="1:7" ht="15.0" customHeight="1" x14ac:dyDescent="0.15">
      <c r="A5" s="13" t="s">
        <v>372</v>
      </c>
      <c r="B5" s="12" t="s">
        <v>373</v>
      </c>
      <c r="C5" s="12" t="s">
        <v>374</v>
      </c>
      <c r="D5" s="12" t="s">
        <v>375</v>
      </c>
      <c r="E5" s="12" t="s">
        <v>376</v>
      </c>
      <c r="F5" s="12" t="s">
        <v>377</v>
      </c>
      <c r="G5" s="22" t="s">
        <v>15</v>
      </c>
    </row>
    <row r="6" spans="1:7" ht="15.0" customHeight="1" x14ac:dyDescent="0.15">
      <c r="A6" s="16" t="s">
        <v>378</v>
      </c>
      <c r="B6" s="15" t="s">
        <v>379</v>
      </c>
      <c r="C6" s="15" t="s">
        <v>380</v>
      </c>
      <c r="D6" s="15" t="s">
        <v>381</v>
      </c>
      <c r="E6" s="15" t="s">
        <v>382</v>
      </c>
      <c r="F6" s="15" t="s">
        <v>383</v>
      </c>
      <c r="G6" s="22" t="s">
        <v>15</v>
      </c>
    </row>
    <row r="7" spans="1:7" ht="15.0" customHeight="1" x14ac:dyDescent="0.15">
      <c r="A7" s="13" t="s">
        <v>384</v>
      </c>
      <c r="B7" s="12" t="s">
        <v>385</v>
      </c>
      <c r="C7" s="12" t="s">
        <v>386</v>
      </c>
      <c r="D7" s="12" t="s">
        <v>387</v>
      </c>
      <c r="E7" s="12" t="s">
        <v>388</v>
      </c>
      <c r="F7" s="12" t="s">
        <v>389</v>
      </c>
      <c r="G7" s="22" t="s">
        <v>15</v>
      </c>
    </row>
    <row r="8" spans="1:7" ht="15.0" customHeight="1" x14ac:dyDescent="0.15">
      <c r="A8" s="16" t="s">
        <v>390</v>
      </c>
      <c r="B8" s="15" t="s">
        <v>391</v>
      </c>
      <c r="C8" s="15" t="s">
        <v>392</v>
      </c>
      <c r="D8" s="15" t="s">
        <v>393</v>
      </c>
      <c r="E8" s="15" t="s">
        <v>394</v>
      </c>
      <c r="F8" s="15" t="s">
        <v>395</v>
      </c>
      <c r="G8" s="23" t="s">
        <v>69</v>
      </c>
    </row>
    <row r="9" spans="1:7" ht="15.0" customHeight="1" x14ac:dyDescent="0.15">
      <c r="A9" s="13" t="s">
        <v>396</v>
      </c>
      <c r="B9" s="12" t="s">
        <v>397</v>
      </c>
      <c r="C9" s="12" t="s">
        <v>398</v>
      </c>
      <c r="D9" s="12" t="s">
        <v>399</v>
      </c>
      <c r="E9" s="12" t="s">
        <v>400</v>
      </c>
      <c r="F9" s="12" t="s">
        <v>401</v>
      </c>
      <c r="G9" s="22" t="s">
        <v>15</v>
      </c>
    </row>
    <row r="10" spans="1:7" ht="15.0" customHeight="1" x14ac:dyDescent="0.15">
      <c r="A10" s="16" t="s">
        <v>402</v>
      </c>
      <c r="B10" s="15" t="s">
        <v>403</v>
      </c>
      <c r="C10" s="15" t="s">
        <v>404</v>
      </c>
      <c r="D10" s="15" t="s">
        <v>405</v>
      </c>
      <c r="E10" s="15" t="s">
        <v>406</v>
      </c>
      <c r="F10" s="15" t="s">
        <v>407</v>
      </c>
      <c r="G10" s="22" t="s">
        <v>15</v>
      </c>
    </row>
    <row r="11" spans="1:7" ht="15.0" customHeight="1" x14ac:dyDescent="0.15">
      <c r="A11" s="13" t="s">
        <v>408</v>
      </c>
      <c r="B11" s="12" t="s">
        <v>409</v>
      </c>
      <c r="C11" s="12" t="s">
        <v>410</v>
      </c>
      <c r="D11" s="12" t="s">
        <v>411</v>
      </c>
      <c r="E11" s="12" t="s">
        <v>412</v>
      </c>
      <c r="F11" s="12" t="s">
        <v>413</v>
      </c>
      <c r="G11" s="22" t="s">
        <v>15</v>
      </c>
    </row>
    <row r="12" spans="1:7" ht="15.0" customHeight="1" x14ac:dyDescent="0.15">
      <c r="A12" s="16" t="s">
        <v>414</v>
      </c>
      <c r="B12" s="15" t="s">
        <v>415</v>
      </c>
      <c r="C12" s="15" t="s">
        <v>416</v>
      </c>
      <c r="D12" s="15" t="s">
        <v>417</v>
      </c>
      <c r="E12" s="15" t="s">
        <v>418</v>
      </c>
      <c r="F12" s="15" t="s">
        <v>419</v>
      </c>
      <c r="G12" s="22" t="s">
        <v>15</v>
      </c>
    </row>
    <row r="13" spans="1:7" ht="15.0" customHeight="1" x14ac:dyDescent="0.15">
      <c r="A13" s="13" t="s">
        <v>420</v>
      </c>
      <c r="B13" s="12" t="s">
        <v>421</v>
      </c>
      <c r="C13" s="12" t="s">
        <v>422</v>
      </c>
      <c r="D13" s="12" t="s">
        <v>423</v>
      </c>
      <c r="E13" s="12" t="s">
        <v>424</v>
      </c>
      <c r="F13" s="12" t="s">
        <v>425</v>
      </c>
      <c r="G13" s="22" t="s">
        <v>15</v>
      </c>
    </row>
    <row r="14" spans="1:7" ht="15.0" customHeight="1" x14ac:dyDescent="0.15">
      <c r="A14" s="16" t="s">
        <v>426</v>
      </c>
      <c r="B14" s="15" t="s">
        <v>427</v>
      </c>
      <c r="C14" s="15" t="s">
        <v>428</v>
      </c>
      <c r="D14" s="15" t="s">
        <v>429</v>
      </c>
      <c r="E14" s="15" t="s">
        <v>430</v>
      </c>
      <c r="F14" s="15" t="s">
        <v>431</v>
      </c>
      <c r="G14" s="22" t="s">
        <v>15</v>
      </c>
    </row>
    <row r="15" spans="1:7" ht="15.0" customHeight="1" x14ac:dyDescent="0.15">
      <c r="A15" s="13" t="s">
        <v>432</v>
      </c>
      <c r="B15" s="12" t="s">
        <v>433</v>
      </c>
      <c r="C15" s="12" t="s">
        <v>434</v>
      </c>
      <c r="D15" s="12" t="s">
        <v>435</v>
      </c>
      <c r="E15" s="12" t="s">
        <v>436</v>
      </c>
      <c r="F15" s="12" t="s">
        <v>437</v>
      </c>
      <c r="G15" s="22" t="s">
        <v>15</v>
      </c>
    </row>
    <row r="16" spans="1:7" ht="15.0" customHeight="1" x14ac:dyDescent="0.15">
      <c r="A16" s="16" t="s">
        <v>438</v>
      </c>
      <c r="B16" s="15" t="s">
        <v>439</v>
      </c>
      <c r="C16" s="15" t="s">
        <v>440</v>
      </c>
      <c r="D16" s="15" t="s">
        <v>441</v>
      </c>
      <c r="E16" s="15" t="s">
        <v>442</v>
      </c>
      <c r="F16" s="15" t="s">
        <v>443</v>
      </c>
      <c r="G16" s="22" t="s">
        <v>15</v>
      </c>
    </row>
    <row r="17" spans="1:7" ht="15.0" customHeight="1" x14ac:dyDescent="0.15">
      <c r="A17" s="13" t="s">
        <v>444</v>
      </c>
      <c r="B17" s="12" t="s">
        <v>445</v>
      </c>
      <c r="C17" s="12" t="s">
        <v>446</v>
      </c>
      <c r="D17" s="12" t="s">
        <v>447</v>
      </c>
      <c r="E17" s="12" t="s">
        <v>448</v>
      </c>
      <c r="F17" s="12" t="s">
        <v>449</v>
      </c>
      <c r="G17" s="22" t="s">
        <v>15</v>
      </c>
    </row>
    <row r="18" spans="1:7" ht="15.0" customHeight="1" x14ac:dyDescent="0.15">
      <c r="A18" s="16" t="s">
        <v>450</v>
      </c>
      <c r="B18" s="15" t="s">
        <v>451</v>
      </c>
      <c r="C18" s="15" t="s">
        <v>452</v>
      </c>
      <c r="D18" s="15" t="s">
        <v>453</v>
      </c>
      <c r="E18" s="15" t="s">
        <v>454</v>
      </c>
      <c r="F18" s="15" t="s">
        <v>455</v>
      </c>
      <c r="G18" s="22" t="s">
        <v>15</v>
      </c>
    </row>
    <row r="19" spans="1:7" ht="15.0" customHeight="1" x14ac:dyDescent="0.15">
      <c r="A19" s="13" t="s">
        <v>456</v>
      </c>
      <c r="B19" s="12" t="s">
        <v>457</v>
      </c>
      <c r="C19" s="12" t="s">
        <v>458</v>
      </c>
      <c r="D19" s="12" t="s">
        <v>459</v>
      </c>
      <c r="E19" s="12" t="s">
        <v>460</v>
      </c>
      <c r="F19" s="12" t="s">
        <v>461</v>
      </c>
      <c r="G19" s="23" t="s">
        <v>69</v>
      </c>
    </row>
    <row r="20" spans="1:7" ht="15.0" customHeight="1" x14ac:dyDescent="0.15">
      <c r="A20" s="16" t="s">
        <v>462</v>
      </c>
      <c r="B20" s="15" t="s">
        <v>463</v>
      </c>
      <c r="C20" s="15" t="s">
        <v>464</v>
      </c>
      <c r="D20" s="15" t="s">
        <v>465</v>
      </c>
      <c r="E20" s="15" t="s">
        <v>466</v>
      </c>
      <c r="F20" s="15" t="s">
        <v>467</v>
      </c>
      <c r="G20" s="22" t="s">
        <v>15</v>
      </c>
    </row>
    <row r="21" spans="1:7" ht="15.0" customHeight="1" x14ac:dyDescent="0.15">
      <c r="A21" s="13" t="s">
        <v>468</v>
      </c>
      <c r="B21" s="12" t="s">
        <v>469</v>
      </c>
      <c r="C21" s="12" t="s">
        <v>470</v>
      </c>
      <c r="D21" s="12" t="s">
        <v>471</v>
      </c>
      <c r="E21" s="12" t="s">
        <v>472</v>
      </c>
      <c r="F21" s="12" t="s">
        <v>473</v>
      </c>
      <c r="G21" s="22" t="s">
        <v>15</v>
      </c>
    </row>
    <row r="22" spans="1:7" ht="15.0" customHeight="1" x14ac:dyDescent="0.15">
      <c r="A22" s="16" t="s">
        <v>474</v>
      </c>
      <c r="B22" s="15" t="s">
        <v>475</v>
      </c>
      <c r="C22" s="15" t="s">
        <v>476</v>
      </c>
      <c r="D22" s="15" t="s">
        <v>477</v>
      </c>
      <c r="E22" s="15" t="s">
        <v>478</v>
      </c>
      <c r="F22" s="15" t="s">
        <v>479</v>
      </c>
      <c r="G22" s="22" t="s">
        <v>15</v>
      </c>
    </row>
    <row r="23" spans="1:7" ht="15.0" customHeight="1" x14ac:dyDescent="0.15">
      <c r="A23" s="13" t="s">
        <v>480</v>
      </c>
      <c r="B23" s="12" t="s">
        <v>481</v>
      </c>
      <c r="C23" s="12" t="s">
        <v>482</v>
      </c>
      <c r="D23" s="12" t="s">
        <v>119</v>
      </c>
      <c r="E23" s="12" t="s">
        <v>483</v>
      </c>
      <c r="F23" s="12" t="s">
        <v>484</v>
      </c>
      <c r="G23" s="22" t="s">
        <v>15</v>
      </c>
    </row>
  </sheetData>
  <autoFilter ref="A3:G23"/>
  <mergeCells count="1">
    <mergeCell ref="A1:G1"/>
  </mergeCells>
  <phoneticPr fontId="0" type="noConversion"/>
  <conditionalFormatting sqref="G4:G23">
    <cfRule type="cellIs" stopIfTrue="1" priority="1" operator="equal" dxfId="0">
      <formula>"Pass"</formula>
    </cfRule>
    <cfRule type="cellIs" stopIfTrue="1" priority="2" operator="equal" dxfId="1">
      <formula>"Fail"</formula>
    </cfRule>
    <cfRule type="cellIs" stopIfTrue="1" priority="3" operator="equal" dxfId="2">
      <formula>"Blocked"</formula>
    </cfRule>
  </conditionalFormatting>
  <pageMargins left="0.7499062639521802" right="0.7499062639521802" top="0.9998749560258521" bottom="0.9998749560258521" header="0.49993747801292604" footer="0.49993747801292604"/>
  <pageSetup paperSize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G23"/>
  <sheetViews>
    <sheetView zoomScaleNormal="100" topLeftCell="F5" workbookViewId="0">
      <selection activeCell="A1" activeCellId="0" sqref="A1"/>
    </sheetView>
  </sheetViews>
  <sheetFormatPr defaultRowHeight="15.0" defaultColWidth="9.0" x14ac:dyDescent="0.15"/>
  <cols>
    <col min="1" max="1" width="18.75" customWidth="1"/>
    <col min="2" max="2" width="37.5" customWidth="1"/>
    <col min="3" max="3" width="43.75" customWidth="1"/>
    <col min="4" max="4" width="31.25" customWidth="1"/>
    <col min="5" max="6" width="43.75" customWidth="1"/>
    <col min="7" max="7" width="15.0" customWidth="1"/>
  </cols>
  <sheetData>
    <row r="1" spans="1:7" x14ac:dyDescent="0.15">
      <c r="A1" s="82" t="s">
        <v>485</v>
      </c>
      <c r="B1" s="26"/>
      <c r="C1" s="26"/>
      <c r="D1" s="26"/>
      <c r="E1" s="26"/>
      <c r="F1" s="26"/>
      <c r="G1" s="26"/>
    </row>
    <row r="2" spans="1:1" x14ac:dyDescent="0.15">
      <c r="A2" s="3" t="s">
        <v>1</v>
      </c>
    </row>
    <row r="3" spans="1:7" ht="28.0" customHeight="1" x14ac:dyDescent="0.1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</row>
    <row r="4" spans="1:7" ht="15.0" customHeight="1" x14ac:dyDescent="0.15">
      <c r="A4" s="16" t="s">
        <v>486</v>
      </c>
      <c r="B4" s="15" t="s">
        <v>487</v>
      </c>
      <c r="C4" s="15" t="s">
        <v>488</v>
      </c>
      <c r="D4" s="15" t="s">
        <v>489</v>
      </c>
      <c r="E4" s="15" t="s">
        <v>490</v>
      </c>
      <c r="F4" s="15" t="s">
        <v>491</v>
      </c>
      <c r="G4" s="22" t="s">
        <v>15</v>
      </c>
    </row>
    <row r="5" spans="1:7" ht="15.0" customHeight="1" x14ac:dyDescent="0.15">
      <c r="A5" s="13" t="s">
        <v>492</v>
      </c>
      <c r="B5" s="12" t="s">
        <v>493</v>
      </c>
      <c r="C5" s="12" t="s">
        <v>494</v>
      </c>
      <c r="D5" s="12" t="s">
        <v>495</v>
      </c>
      <c r="E5" s="12" t="s">
        <v>496</v>
      </c>
      <c r="F5" s="12" t="s">
        <v>497</v>
      </c>
      <c r="G5" s="22" t="s">
        <v>15</v>
      </c>
    </row>
    <row r="6" spans="1:7" ht="15.0" customHeight="1" x14ac:dyDescent="0.15">
      <c r="A6" s="16" t="s">
        <v>498</v>
      </c>
      <c r="B6" s="15" t="s">
        <v>499</v>
      </c>
      <c r="C6" s="15" t="s">
        <v>500</v>
      </c>
      <c r="D6" s="15" t="s">
        <v>501</v>
      </c>
      <c r="E6" s="15" t="s">
        <v>502</v>
      </c>
      <c r="F6" s="15" t="s">
        <v>503</v>
      </c>
      <c r="G6" s="22" t="s">
        <v>15</v>
      </c>
    </row>
    <row r="7" spans="1:7" ht="15.0" customHeight="1" x14ac:dyDescent="0.15">
      <c r="A7" s="13" t="s">
        <v>504</v>
      </c>
      <c r="B7" s="12" t="s">
        <v>505</v>
      </c>
      <c r="C7" s="12" t="s">
        <v>506</v>
      </c>
      <c r="D7" s="12" t="s">
        <v>507</v>
      </c>
      <c r="E7" s="12" t="s">
        <v>508</v>
      </c>
      <c r="F7" s="12" t="s">
        <v>509</v>
      </c>
      <c r="G7" s="22" t="s">
        <v>15</v>
      </c>
    </row>
    <row r="8" spans="1:7" ht="15.0" customHeight="1" x14ac:dyDescent="0.15">
      <c r="A8" s="16" t="s">
        <v>510</v>
      </c>
      <c r="B8" s="15" t="s">
        <v>511</v>
      </c>
      <c r="C8" s="15" t="s">
        <v>512</v>
      </c>
      <c r="D8" s="15" t="s">
        <v>513</v>
      </c>
      <c r="E8" s="15" t="s">
        <v>514</v>
      </c>
      <c r="F8" s="15" t="s">
        <v>515</v>
      </c>
      <c r="G8" s="22" t="s">
        <v>15</v>
      </c>
    </row>
    <row r="9" spans="1:7" ht="15.0" customHeight="1" x14ac:dyDescent="0.15">
      <c r="A9" s="13" t="s">
        <v>516</v>
      </c>
      <c r="B9" s="12" t="s">
        <v>517</v>
      </c>
      <c r="C9" s="12" t="s">
        <v>518</v>
      </c>
      <c r="D9" s="12" t="s">
        <v>519</v>
      </c>
      <c r="E9" s="12" t="s">
        <v>520</v>
      </c>
      <c r="F9" s="12" t="s">
        <v>521</v>
      </c>
      <c r="G9" s="22" t="s">
        <v>15</v>
      </c>
    </row>
    <row r="10" spans="1:7" ht="15.0" customHeight="1" x14ac:dyDescent="0.15">
      <c r="A10" s="16" t="s">
        <v>522</v>
      </c>
      <c r="B10" s="15" t="s">
        <v>523</v>
      </c>
      <c r="C10" s="15" t="s">
        <v>524</v>
      </c>
      <c r="D10" s="15" t="s">
        <v>525</v>
      </c>
      <c r="E10" s="15" t="s">
        <v>526</v>
      </c>
      <c r="F10" s="15" t="s">
        <v>527</v>
      </c>
      <c r="G10" s="22" t="s">
        <v>15</v>
      </c>
    </row>
    <row r="11" spans="1:7" ht="15.0" customHeight="1" x14ac:dyDescent="0.15">
      <c r="A11" s="13" t="s">
        <v>528</v>
      </c>
      <c r="B11" s="12" t="s">
        <v>529</v>
      </c>
      <c r="C11" s="12" t="s">
        <v>530</v>
      </c>
      <c r="D11" s="12" t="s">
        <v>531</v>
      </c>
      <c r="E11" s="12" t="s">
        <v>532</v>
      </c>
      <c r="F11" s="12" t="s">
        <v>533</v>
      </c>
      <c r="G11" s="22" t="s">
        <v>15</v>
      </c>
    </row>
    <row r="12" spans="1:7" ht="15.0" customHeight="1" x14ac:dyDescent="0.15">
      <c r="A12" s="16" t="s">
        <v>534</v>
      </c>
      <c r="B12" s="15" t="s">
        <v>535</v>
      </c>
      <c r="C12" s="15" t="s">
        <v>536</v>
      </c>
      <c r="D12" s="15" t="s">
        <v>537</v>
      </c>
      <c r="E12" s="15" t="s">
        <v>538</v>
      </c>
      <c r="F12" s="15" t="s">
        <v>539</v>
      </c>
      <c r="G12" s="22" t="s">
        <v>15</v>
      </c>
    </row>
    <row r="13" spans="1:7" ht="15.0" customHeight="1" x14ac:dyDescent="0.15">
      <c r="A13" s="13" t="s">
        <v>540</v>
      </c>
      <c r="B13" s="12" t="s">
        <v>541</v>
      </c>
      <c r="C13" s="12" t="s">
        <v>542</v>
      </c>
      <c r="D13" s="12" t="s">
        <v>543</v>
      </c>
      <c r="E13" s="12" t="s">
        <v>544</v>
      </c>
      <c r="F13" s="12" t="s">
        <v>545</v>
      </c>
      <c r="G13" s="22" t="s">
        <v>15</v>
      </c>
    </row>
    <row r="14" spans="1:7" ht="15.0" customHeight="1" x14ac:dyDescent="0.15">
      <c r="A14" s="16" t="s">
        <v>546</v>
      </c>
      <c r="B14" s="15" t="s">
        <v>547</v>
      </c>
      <c r="C14" s="15" t="s">
        <v>548</v>
      </c>
      <c r="D14" s="15" t="s">
        <v>549</v>
      </c>
      <c r="E14" s="15" t="s">
        <v>550</v>
      </c>
      <c r="F14" s="15" t="s">
        <v>551</v>
      </c>
      <c r="G14" s="22" t="s">
        <v>15</v>
      </c>
    </row>
    <row r="15" spans="1:7" ht="15.0" customHeight="1" x14ac:dyDescent="0.15">
      <c r="A15" s="13" t="s">
        <v>552</v>
      </c>
      <c r="B15" s="12" t="s">
        <v>553</v>
      </c>
      <c r="C15" s="12" t="s">
        <v>554</v>
      </c>
      <c r="D15" s="12" t="s">
        <v>555</v>
      </c>
      <c r="E15" s="12" t="s">
        <v>556</v>
      </c>
      <c r="F15" s="12" t="s">
        <v>557</v>
      </c>
      <c r="G15" s="23" t="s">
        <v>69</v>
      </c>
    </row>
    <row r="16" spans="1:7" ht="15.0" customHeight="1" x14ac:dyDescent="0.15">
      <c r="A16" s="16" t="s">
        <v>558</v>
      </c>
      <c r="B16" s="15" t="s">
        <v>559</v>
      </c>
      <c r="C16" s="15" t="s">
        <v>560</v>
      </c>
      <c r="D16" s="15" t="s">
        <v>561</v>
      </c>
      <c r="E16" s="15" t="s">
        <v>562</v>
      </c>
      <c r="F16" s="15" t="s">
        <v>563</v>
      </c>
      <c r="G16" s="22" t="s">
        <v>15</v>
      </c>
    </row>
    <row r="17" spans="1:7" ht="15.0" customHeight="1" x14ac:dyDescent="0.15">
      <c r="A17" s="13" t="s">
        <v>564</v>
      </c>
      <c r="B17" s="12" t="s">
        <v>565</v>
      </c>
      <c r="C17" s="12" t="s">
        <v>566</v>
      </c>
      <c r="D17" s="12" t="s">
        <v>567</v>
      </c>
      <c r="E17" s="12" t="s">
        <v>568</v>
      </c>
      <c r="F17" s="12" t="s">
        <v>569</v>
      </c>
      <c r="G17" s="22" t="s">
        <v>15</v>
      </c>
    </row>
    <row r="18" spans="1:7" ht="15.0" customHeight="1" x14ac:dyDescent="0.15">
      <c r="A18" s="16" t="s">
        <v>570</v>
      </c>
      <c r="B18" s="15" t="s">
        <v>571</v>
      </c>
      <c r="C18" s="15" t="s">
        <v>572</v>
      </c>
      <c r="D18" s="15" t="s">
        <v>573</v>
      </c>
      <c r="E18" s="15" t="s">
        <v>574</v>
      </c>
      <c r="F18" s="15" t="s">
        <v>575</v>
      </c>
      <c r="G18" s="22" t="s">
        <v>15</v>
      </c>
    </row>
    <row r="19" spans="1:7" ht="15.0" customHeight="1" x14ac:dyDescent="0.15">
      <c r="A19" s="13" t="s">
        <v>576</v>
      </c>
      <c r="B19" s="12" t="s">
        <v>577</v>
      </c>
      <c r="C19" s="12" t="s">
        <v>578</v>
      </c>
      <c r="D19" s="12" t="s">
        <v>579</v>
      </c>
      <c r="E19" s="12" t="s">
        <v>580</v>
      </c>
      <c r="F19" s="12" t="s">
        <v>581</v>
      </c>
      <c r="G19" s="22" t="s">
        <v>15</v>
      </c>
    </row>
    <row r="20" spans="1:7" ht="15.0" customHeight="1" x14ac:dyDescent="0.15">
      <c r="A20" s="16" t="s">
        <v>582</v>
      </c>
      <c r="B20" s="15" t="s">
        <v>583</v>
      </c>
      <c r="C20" s="15" t="s">
        <v>584</v>
      </c>
      <c r="D20" s="15" t="s">
        <v>585</v>
      </c>
      <c r="E20" s="15" t="s">
        <v>586</v>
      </c>
      <c r="F20" s="15" t="s">
        <v>587</v>
      </c>
      <c r="G20" s="22" t="s">
        <v>15</v>
      </c>
    </row>
    <row r="21" spans="1:7" ht="15.0" customHeight="1" x14ac:dyDescent="0.15">
      <c r="A21" s="13" t="s">
        <v>588</v>
      </c>
      <c r="B21" s="12" t="s">
        <v>589</v>
      </c>
      <c r="C21" s="12" t="s">
        <v>590</v>
      </c>
      <c r="D21" s="12" t="s">
        <v>591</v>
      </c>
      <c r="E21" s="12" t="s">
        <v>592</v>
      </c>
      <c r="F21" s="12" t="s">
        <v>593</v>
      </c>
      <c r="G21" s="23" t="s">
        <v>69</v>
      </c>
    </row>
    <row r="22" spans="1:7" ht="15.0" customHeight="1" x14ac:dyDescent="0.15">
      <c r="A22" s="16" t="s">
        <v>594</v>
      </c>
      <c r="B22" s="15" t="s">
        <v>595</v>
      </c>
      <c r="C22" s="15" t="s">
        <v>596</v>
      </c>
      <c r="D22" s="15" t="s">
        <v>597</v>
      </c>
      <c r="E22" s="15" t="s">
        <v>598</v>
      </c>
      <c r="F22" s="15" t="s">
        <v>599</v>
      </c>
      <c r="G22" s="22" t="s">
        <v>15</v>
      </c>
    </row>
    <row r="23" spans="1:7" ht="15.0" customHeight="1" x14ac:dyDescent="0.15">
      <c r="A23" s="13" t="s">
        <v>600</v>
      </c>
      <c r="B23" s="12" t="s">
        <v>601</v>
      </c>
      <c r="C23" s="12" t="s">
        <v>602</v>
      </c>
      <c r="D23" s="12" t="s">
        <v>603</v>
      </c>
      <c r="E23" s="12" t="s">
        <v>604</v>
      </c>
      <c r="F23" s="12" t="s">
        <v>605</v>
      </c>
      <c r="G23" s="22" t="s">
        <v>15</v>
      </c>
    </row>
  </sheetData>
  <autoFilter ref="A3:G23"/>
  <mergeCells count="1">
    <mergeCell ref="A1:G1"/>
  </mergeCells>
  <phoneticPr fontId="0" type="noConversion"/>
  <conditionalFormatting sqref="G4:G23">
    <cfRule type="cellIs" stopIfTrue="1" priority="1" operator="equal" dxfId="0">
      <formula>"Pass"</formula>
    </cfRule>
    <cfRule type="cellIs" stopIfTrue="1" priority="2" operator="equal" dxfId="1">
      <formula>"Fail"</formula>
    </cfRule>
    <cfRule type="cellIs" stopIfTrue="1" priority="3" operator="equal" dxfId="2">
      <formula>"Blocked"</formula>
    </cfRule>
  </conditionalFormatting>
  <pageMargins left="0.7499062639521802" right="0.7499062639521802" top="0.9998749560258521" bottom="0.9998749560258521" header="0.49993747801292604" footer="0.49993747801292604"/>
  <pageSetup paperSize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G23"/>
  <sheetViews>
    <sheetView zoomScaleNormal="100" topLeftCell="A4" workbookViewId="0">
      <selection activeCell="A1" activeCellId="0" sqref="A1"/>
    </sheetView>
  </sheetViews>
  <sheetFormatPr defaultRowHeight="15.0" defaultColWidth="9.0" x14ac:dyDescent="0.15"/>
  <cols>
    <col min="1" max="1" width="18.75" customWidth="1"/>
    <col min="2" max="2" width="37.5" customWidth="1"/>
    <col min="3" max="3" width="43.75" customWidth="1"/>
    <col min="4" max="4" width="31.25" customWidth="1"/>
    <col min="5" max="6" width="43.75" customWidth="1"/>
    <col min="7" max="7" width="15.0" customWidth="1"/>
  </cols>
  <sheetData>
    <row r="1" spans="1:7" x14ac:dyDescent="0.15">
      <c r="A1" s="82" t="s">
        <v>606</v>
      </c>
      <c r="B1" s="26"/>
      <c r="C1" s="26"/>
      <c r="D1" s="26"/>
      <c r="E1" s="26"/>
      <c r="F1" s="26"/>
      <c r="G1" s="26"/>
    </row>
    <row r="2" spans="1:1" x14ac:dyDescent="0.15">
      <c r="A2" s="3" t="s">
        <v>1</v>
      </c>
    </row>
    <row r="3" spans="1:7" ht="28.0" customHeight="1" x14ac:dyDescent="0.1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</row>
    <row r="4" spans="1:7" ht="15.0" customHeight="1" x14ac:dyDescent="0.15">
      <c r="A4" s="16" t="s">
        <v>607</v>
      </c>
      <c r="B4" s="15" t="s">
        <v>608</v>
      </c>
      <c r="C4" s="15" t="s">
        <v>609</v>
      </c>
      <c r="D4" s="15" t="s">
        <v>610</v>
      </c>
      <c r="E4" s="15" t="s">
        <v>611</v>
      </c>
      <c r="F4" s="15" t="s">
        <v>612</v>
      </c>
      <c r="G4" s="22" t="s">
        <v>15</v>
      </c>
    </row>
    <row r="5" spans="1:7" ht="15.0" customHeight="1" x14ac:dyDescent="0.15">
      <c r="A5" s="13" t="s">
        <v>613</v>
      </c>
      <c r="B5" s="12" t="s">
        <v>614</v>
      </c>
      <c r="C5" s="12" t="s">
        <v>615</v>
      </c>
      <c r="D5" s="12" t="s">
        <v>616</v>
      </c>
      <c r="E5" s="12" t="s">
        <v>617</v>
      </c>
      <c r="F5" s="12" t="s">
        <v>618</v>
      </c>
      <c r="G5" s="22" t="s">
        <v>15</v>
      </c>
    </row>
    <row r="6" spans="1:7" ht="15.0" customHeight="1" x14ac:dyDescent="0.15">
      <c r="A6" s="16" t="s">
        <v>619</v>
      </c>
      <c r="B6" s="15" t="s">
        <v>620</v>
      </c>
      <c r="C6" s="15" t="s">
        <v>621</v>
      </c>
      <c r="D6" s="15" t="s">
        <v>622</v>
      </c>
      <c r="E6" s="15" t="s">
        <v>623</v>
      </c>
      <c r="F6" s="15" t="s">
        <v>624</v>
      </c>
      <c r="G6" s="22" t="s">
        <v>15</v>
      </c>
    </row>
    <row r="7" spans="1:7" ht="15.0" customHeight="1" x14ac:dyDescent="0.15">
      <c r="A7" s="13" t="s">
        <v>625</v>
      </c>
      <c r="B7" s="12" t="s">
        <v>626</v>
      </c>
      <c r="C7" s="12" t="s">
        <v>627</v>
      </c>
      <c r="D7" s="12" t="s">
        <v>628</v>
      </c>
      <c r="E7" s="12" t="s">
        <v>629</v>
      </c>
      <c r="F7" s="12" t="s">
        <v>630</v>
      </c>
      <c r="G7" s="22" t="s">
        <v>15</v>
      </c>
    </row>
    <row r="8" spans="1:7" ht="15.0" customHeight="1" x14ac:dyDescent="0.15">
      <c r="A8" s="16" t="s">
        <v>631</v>
      </c>
      <c r="B8" s="15" t="s">
        <v>632</v>
      </c>
      <c r="C8" s="15" t="s">
        <v>633</v>
      </c>
      <c r="D8" s="15" t="s">
        <v>634</v>
      </c>
      <c r="E8" s="15" t="s">
        <v>635</v>
      </c>
      <c r="F8" s="15" t="s">
        <v>636</v>
      </c>
      <c r="G8" s="22" t="s">
        <v>15</v>
      </c>
    </row>
    <row r="9" spans="1:7" ht="15.0" customHeight="1" x14ac:dyDescent="0.15">
      <c r="A9" s="13" t="s">
        <v>637</v>
      </c>
      <c r="B9" s="12" t="s">
        <v>638</v>
      </c>
      <c r="C9" s="12" t="s">
        <v>639</v>
      </c>
      <c r="D9" s="12" t="s">
        <v>640</v>
      </c>
      <c r="E9" s="12" t="s">
        <v>641</v>
      </c>
      <c r="F9" s="12" t="s">
        <v>642</v>
      </c>
      <c r="G9" s="22" t="s">
        <v>15</v>
      </c>
    </row>
    <row r="10" spans="1:7" ht="15.0" customHeight="1" x14ac:dyDescent="0.15">
      <c r="A10" s="16" t="s">
        <v>643</v>
      </c>
      <c r="B10" s="15" t="s">
        <v>644</v>
      </c>
      <c r="C10" s="15" t="s">
        <v>645</v>
      </c>
      <c r="D10" s="15" t="s">
        <v>646</v>
      </c>
      <c r="E10" s="15" t="s">
        <v>647</v>
      </c>
      <c r="F10" s="15" t="s">
        <v>648</v>
      </c>
      <c r="G10" s="22" t="s">
        <v>15</v>
      </c>
    </row>
    <row r="11" spans="1:7" ht="15.0" customHeight="1" x14ac:dyDescent="0.15">
      <c r="A11" s="13" t="s">
        <v>649</v>
      </c>
      <c r="B11" s="12" t="s">
        <v>650</v>
      </c>
      <c r="C11" s="12" t="s">
        <v>651</v>
      </c>
      <c r="D11" s="12" t="s">
        <v>652</v>
      </c>
      <c r="E11" s="12" t="s">
        <v>653</v>
      </c>
      <c r="F11" s="12" t="s">
        <v>654</v>
      </c>
      <c r="G11" s="22" t="s">
        <v>15</v>
      </c>
    </row>
    <row r="12" spans="1:7" ht="15.0" customHeight="1" x14ac:dyDescent="0.15">
      <c r="A12" s="16" t="s">
        <v>655</v>
      </c>
      <c r="B12" s="15" t="s">
        <v>656</v>
      </c>
      <c r="C12" s="15" t="s">
        <v>657</v>
      </c>
      <c r="D12" s="15" t="s">
        <v>658</v>
      </c>
      <c r="E12" s="15" t="s">
        <v>659</v>
      </c>
      <c r="F12" s="15" t="s">
        <v>660</v>
      </c>
      <c r="G12" s="22" t="s">
        <v>15</v>
      </c>
    </row>
    <row r="13" spans="1:7" ht="15.0" customHeight="1" x14ac:dyDescent="0.15">
      <c r="A13" s="13" t="s">
        <v>661</v>
      </c>
      <c r="B13" s="12" t="s">
        <v>662</v>
      </c>
      <c r="C13" s="12" t="s">
        <v>663</v>
      </c>
      <c r="D13" s="12" t="s">
        <v>664</v>
      </c>
      <c r="E13" s="12" t="s">
        <v>665</v>
      </c>
      <c r="F13" s="12" t="s">
        <v>666</v>
      </c>
      <c r="G13" s="22" t="s">
        <v>15</v>
      </c>
    </row>
    <row r="14" spans="1:7" ht="15.0" customHeight="1" x14ac:dyDescent="0.15">
      <c r="A14" s="16" t="s">
        <v>667</v>
      </c>
      <c r="B14" s="15" t="s">
        <v>668</v>
      </c>
      <c r="C14" s="15" t="s">
        <v>669</v>
      </c>
      <c r="D14" s="15" t="s">
        <v>670</v>
      </c>
      <c r="E14" s="15" t="s">
        <v>671</v>
      </c>
      <c r="F14" s="15" t="s">
        <v>672</v>
      </c>
      <c r="G14" s="22" t="s">
        <v>15</v>
      </c>
    </row>
    <row r="15" spans="1:7" ht="15.0" customHeight="1" x14ac:dyDescent="0.15">
      <c r="A15" s="13" t="s">
        <v>673</v>
      </c>
      <c r="B15" s="12" t="s">
        <v>674</v>
      </c>
      <c r="C15" s="12" t="s">
        <v>675</v>
      </c>
      <c r="D15" s="12" t="s">
        <v>676</v>
      </c>
      <c r="E15" s="12" t="s">
        <v>677</v>
      </c>
      <c r="F15" s="12" t="s">
        <v>678</v>
      </c>
      <c r="G15" s="22" t="s">
        <v>15</v>
      </c>
    </row>
    <row r="16" spans="1:7" ht="15.0" customHeight="1" x14ac:dyDescent="0.15">
      <c r="A16" s="16" t="s">
        <v>679</v>
      </c>
      <c r="B16" s="15" t="s">
        <v>680</v>
      </c>
      <c r="C16" s="15" t="s">
        <v>681</v>
      </c>
      <c r="D16" s="15" t="s">
        <v>682</v>
      </c>
      <c r="E16" s="15" t="s">
        <v>683</v>
      </c>
      <c r="F16" s="15" t="s">
        <v>684</v>
      </c>
      <c r="G16" s="22" t="s">
        <v>15</v>
      </c>
    </row>
    <row r="17" spans="1:7" ht="15.0" customHeight="1" x14ac:dyDescent="0.15">
      <c r="A17" s="13" t="s">
        <v>685</v>
      </c>
      <c r="B17" s="12" t="s">
        <v>686</v>
      </c>
      <c r="C17" s="12" t="s">
        <v>687</v>
      </c>
      <c r="D17" s="12" t="s">
        <v>688</v>
      </c>
      <c r="E17" s="12" t="s">
        <v>689</v>
      </c>
      <c r="F17" s="12" t="s">
        <v>690</v>
      </c>
      <c r="G17" s="23" t="s">
        <v>69</v>
      </c>
    </row>
    <row r="18" spans="1:7" ht="15.0" customHeight="1" x14ac:dyDescent="0.15">
      <c r="A18" s="16" t="s">
        <v>691</v>
      </c>
      <c r="B18" s="15" t="s">
        <v>692</v>
      </c>
      <c r="C18" s="15" t="s">
        <v>693</v>
      </c>
      <c r="D18" s="15" t="s">
        <v>694</v>
      </c>
      <c r="E18" s="15" t="s">
        <v>695</v>
      </c>
      <c r="F18" s="15" t="s">
        <v>696</v>
      </c>
      <c r="G18" s="23" t="s">
        <v>69</v>
      </c>
    </row>
    <row r="19" spans="1:7" ht="15.0" customHeight="1" x14ac:dyDescent="0.15">
      <c r="A19" s="13" t="s">
        <v>697</v>
      </c>
      <c r="B19" s="12" t="s">
        <v>698</v>
      </c>
      <c r="C19" s="12" t="s">
        <v>699</v>
      </c>
      <c r="D19" s="12" t="s">
        <v>700</v>
      </c>
      <c r="E19" s="12" t="s">
        <v>701</v>
      </c>
      <c r="F19" s="12" t="s">
        <v>702</v>
      </c>
      <c r="G19" s="24" t="s">
        <v>703</v>
      </c>
    </row>
    <row r="20" spans="1:7" ht="15.0" customHeight="1" x14ac:dyDescent="0.15">
      <c r="A20" s="16" t="s">
        <v>704</v>
      </c>
      <c r="B20" s="15" t="s">
        <v>705</v>
      </c>
      <c r="C20" s="15" t="s">
        <v>706</v>
      </c>
      <c r="D20" s="15" t="s">
        <v>707</v>
      </c>
      <c r="E20" s="15" t="s">
        <v>708</v>
      </c>
      <c r="F20" s="15" t="s">
        <v>709</v>
      </c>
      <c r="G20" s="22" t="s">
        <v>15</v>
      </c>
    </row>
    <row r="21" spans="1:7" ht="15.0" customHeight="1" x14ac:dyDescent="0.15">
      <c r="A21" s="13" t="s">
        <v>710</v>
      </c>
      <c r="B21" s="12" t="s">
        <v>711</v>
      </c>
      <c r="C21" s="12" t="s">
        <v>712</v>
      </c>
      <c r="D21" s="12" t="s">
        <v>713</v>
      </c>
      <c r="E21" s="12" t="s">
        <v>714</v>
      </c>
      <c r="F21" s="12" t="s">
        <v>715</v>
      </c>
      <c r="G21" s="22" t="s">
        <v>15</v>
      </c>
    </row>
    <row r="22" spans="1:7" ht="15.0" customHeight="1" x14ac:dyDescent="0.15">
      <c r="A22" s="16" t="s">
        <v>716</v>
      </c>
      <c r="B22" s="15" t="s">
        <v>717</v>
      </c>
      <c r="C22" s="15" t="s">
        <v>718</v>
      </c>
      <c r="D22" s="15" t="s">
        <v>719</v>
      </c>
      <c r="E22" s="15" t="s">
        <v>720</v>
      </c>
      <c r="F22" s="15" t="s">
        <v>721</v>
      </c>
      <c r="G22" s="22" t="s">
        <v>15</v>
      </c>
    </row>
    <row r="23" spans="1:7" ht="15.0" customHeight="1" x14ac:dyDescent="0.15">
      <c r="A23" s="13" t="s">
        <v>722</v>
      </c>
      <c r="B23" s="12" t="s">
        <v>723</v>
      </c>
      <c r="C23" s="12" t="s">
        <v>724</v>
      </c>
      <c r="D23" s="12" t="s">
        <v>725</v>
      </c>
      <c r="E23" s="12" t="s">
        <v>726</v>
      </c>
      <c r="F23" s="12" t="s">
        <v>727</v>
      </c>
      <c r="G23" s="22" t="s">
        <v>15</v>
      </c>
    </row>
  </sheetData>
  <autoFilter ref="A3:G23"/>
  <mergeCells count="1">
    <mergeCell ref="A1:G1"/>
  </mergeCells>
  <phoneticPr fontId="0" type="noConversion"/>
  <conditionalFormatting sqref="G4:G23">
    <cfRule type="cellIs" stopIfTrue="1" priority="1" operator="equal" dxfId="0">
      <formula>"Pass"</formula>
    </cfRule>
    <cfRule type="cellIs" stopIfTrue="1" priority="2" operator="equal" dxfId="1">
      <formula>"Fail"</formula>
    </cfRule>
    <cfRule type="cellIs" stopIfTrue="1" priority="3" operator="equal" dxfId="2">
      <formula>"Blocked"</formula>
    </cfRule>
  </conditionalFormatting>
  <pageMargins left="0.7499062639521802" right="0.7499062639521802" top="0.9998749560258521" bottom="0.9998749560258521" header="0.49993747801292604" footer="0.49993747801292604"/>
  <pageSetup paperSize="0"/>
</worksheet>
</file>

<file path=docProps/app.xml><?xml version="1.0" encoding="utf-8"?>
<Properties xmlns="http://schemas.openxmlformats.org/officeDocument/2006/extended-properties">
  <Template>Normal.eit</Template>
  <TotalTime>9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http://purl.org/dc/elements/1.1/openpyxl</dc:creator>
  <cp:lastModifiedBy>root</cp:lastModifiedBy>
  <cp:revision>0</cp:revision>
  <dcterms:modified xsi:type="dcterms:W3CDTF">2026-09-24T23:31:23Z</dcterms:modified>
</cp:coreProperties>
</file>