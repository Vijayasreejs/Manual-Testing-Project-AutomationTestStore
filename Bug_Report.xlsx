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<sst xmlns="http://schemas.openxmlformats.org/spreadsheetml/2006/main" count="201" uniqueCount="145">
  <si>
    <t xml:space="preserve">AUTOMATION TEST STORE — DEFECT / BUG REPORT</t>
  </si>
  <si>
    <t xml:space="preserve">Source: Manual Test Execution — AUTOMATION_STORE_TEST_CASES_EXECUTION.xlsx | Environment: Demo Web Store</t>
  </si>
  <si>
    <t xml:space="preserve">Bug ID</t>
  </si>
  <si>
    <t xml:space="preserve">Module</t>
  </si>
  <si>
    <t xml:space="preserve">Test Case ID</t>
  </si>
  <si>
    <t xml:space="preserve">Bug Summary</t>
  </si>
  <si>
    <t xml:space="preserve">Steps to Reproduce</t>
  </si>
  <si>
    <t xml:space="preserve">Test Data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</si>
  <si>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</si>
  <si>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</si>
  <si>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</si>
  <si>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</si>
  <si>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</si>
  <si>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Notes</t>
  </si>
  <si>
    <t xml:space="preserve">BUG-001</t>
  </si>
  <si>
    <t xml:space="preserve">Registration</t>
  </si>
  <si>
    <t xml:space="preserve">Rg_10</t>
  </si>
  <si>
    <t xml:space="preserve">Telephone field accepts non-numeric input without validation</t>
  </si>
  <si>
    <t xml:space="preserve">1. Navigate to Registration page.
2. Enter non-numeric characters in Telephone field.
3. Fill other fields.
4. Click 'Continue'.</t>
  </si>
  <si>
    <t xml:space="preserve">Telephone: 'ABCDE'</t>
  </si>
  <si>
    <t xml:space="preserve">Appropriate error message for invalid phone format is displayed.</t>
  </si>
  <si>
    <t xml:space="preserve">Form submitted without showing phone format validation error.</t>
  </si>
  <si>
    <t xml:space="preserve">Medium</t>
  </si>
  <si>
    <t xml:space="preserve">Open</t>
  </si>
  <si>
    <t xml:space="preserve">Data-integrity risk; invalid phone numbers stored in DB.</t>
  </si>
  <si>
    <t xml:space="preserve">BUG-002</t>
  </si>
  <si>
    <t xml:space="preserve">Rg_16</t>
  </si>
  <si>
    <t xml:space="preserve">Password visibility toggle (eye icon) missing on Registration page</t>
  </si>
  <si>
    <t xml:space="preserve">1. Type password in Password field.
2. Click Eye/Show icon.</t>
  </si>
  <si>
    <t xml:space="preserve">Password text</t>
  </si>
  <si>
    <t xml:space="preserve">Password characters switch between masked dots and plain text.</t>
  </si>
  <si>
    <t xml:space="preserve">Password toggle icon not present on registration page.</t>
  </si>
  <si>
    <t xml:space="preserve">Low</t>
  </si>
  <si>
    <t xml:space="preserve">Usability enhancement, no functional blocker.</t>
  </si>
  <si>
    <t xml:space="preserve">BUG-003</t>
  </si>
  <si>
    <t xml:space="preserve">Authentication</t>
  </si>
  <si>
    <t xml:space="preserve">Login_06</t>
  </si>
  <si>
    <t xml:space="preserve">No account lockout after multiple consecutive failed login attempts</t>
  </si>
  <si>
    <t xml:space="preserve">1. Attempt login with invalid password 5 consecutive times.</t>
  </si>
  <si>
    <t xml:space="preserve">valid_username, wrong_password</t>
  </si>
  <si>
    <t xml:space="preserve">Account is temporarily locked with warning message displayed.</t>
  </si>
  <si>
    <t xml:space="preserve">No account lockout triggered after 5 failed login attempts.</t>
  </si>
  <si>
    <t xml:space="preserve">High</t>
  </si>
  <si>
    <t xml:space="preserve">Security concern — exposes accounts to brute-force attacks.</t>
  </si>
  <si>
    <t xml:space="preserve">BUG-004</t>
  </si>
  <si>
    <t xml:space="preserve">Login_08</t>
  </si>
  <si>
    <t xml:space="preserve">'Remember Me' checkbox not available on Login form</t>
  </si>
  <si>
    <t xml:space="preserve">1. Enter valid credentials.
2. Check 'Remember Me'.
3. Click 'Login'.
4. Close and re-open browser.</t>
  </si>
  <si>
    <t xml:space="preserve">Valid credentials</t>
  </si>
  <si>
    <t xml:space="preserve">User remains logged in without re-entering credentials.</t>
  </si>
  <si>
    <t xml:space="preserve">'Remember Me' option not available on login form.</t>
  </si>
  <si>
    <t xml:space="preserve">Feature appears to be missing from UI entirely.</t>
  </si>
  <si>
    <t xml:space="preserve">BUG-005</t>
  </si>
  <si>
    <t xml:space="preserve">Login_11</t>
  </si>
  <si>
    <t xml:space="preserve">Cached account page briefly renders after Logout via browser Back button</t>
  </si>
  <si>
    <t xml:space="preserve">1. Log out from account.
2. Click browser's 'Back' button.</t>
  </si>
  <si>
    <t xml:space="preserve">Post-logout state</t>
  </si>
  <si>
    <t xml:space="preserve">User cannot access protected account pages without re-logging in.</t>
  </si>
  <si>
    <t xml:space="preserve">Cached account page renders briefly before redirecting to login page.</t>
  </si>
  <si>
    <t xml:space="preserve">Potential session/cache security issue; sensitive data briefly exposed.</t>
  </si>
  <si>
    <t xml:space="preserve">BUG-006</t>
  </si>
  <si>
    <t xml:space="preserve">Search</t>
  </si>
  <si>
    <t xml:space="preserve">Search_09</t>
  </si>
  <si>
    <t xml:space="preserve">Auto-complete search suggestions not implemented</t>
  </si>
  <si>
    <t xml:space="preserve">1. Type first 3 letters of product name.</t>
  </si>
  <si>
    <t xml:space="preserve">'Tot'</t>
  </si>
  <si>
    <t xml:space="preserve">Dropdown overlay shows matching live auto-suggestions.</t>
  </si>
  <si>
    <t xml:space="preserve">Auto-complete suggestion dropdown not implemented on search bar.</t>
  </si>
  <si>
    <t xml:space="preserve">Enhancement — not a blocking defect.</t>
  </si>
  <si>
    <t xml:space="preserve">BUG-007</t>
  </si>
  <si>
    <t xml:space="preserve">Search_19</t>
  </si>
  <si>
    <t xml:space="preserve">'Clear' (X) button missing inside search bar</t>
  </si>
  <si>
    <t xml:space="preserve">1. Type text in search bar.
2. Click 'X' clear button.</t>
  </si>
  <si>
    <t xml:space="preserve">Sample text</t>
  </si>
  <si>
    <t xml:space="preserve">Search input field is instantly cleared.</t>
  </si>
  <si>
    <t xml:space="preserve">'X' clear button not available inside search bar.</t>
  </si>
  <si>
    <t xml:space="preserve">Minor usability gap.</t>
  </si>
  <si>
    <t xml:space="preserve">BUG-008</t>
  </si>
  <si>
    <t xml:space="preserve">Cart</t>
  </si>
  <si>
    <t xml:space="preserve">Cart_05</t>
  </si>
  <si>
    <t xml:space="preserve">Out-of-stock product can be added to cart without warning</t>
  </si>
  <si>
    <t xml:space="preserve">1. Navigate to out-of-stock product page.
2. Check 'Add to Cart' availability.</t>
  </si>
  <si>
    <t xml:space="preserve">Out of stock item</t>
  </si>
  <si>
    <t xml:space="preserve">'Add to Cart' button is disabled or error alert is shown.</t>
  </si>
  <si>
    <t xml:space="preserve">Out of stock item allowed addition to cart without warning.</t>
  </si>
  <si>
    <t xml:space="preserve">Can lead to unfulfillable orders.</t>
  </si>
  <si>
    <t xml:space="preserve">BUG-009</t>
  </si>
  <si>
    <t xml:space="preserve">Cart_16</t>
  </si>
  <si>
    <t xml:space="preserve">No dedicated 'Clear Cart' option available</t>
  </si>
  <si>
    <t xml:space="preserve">1. Add multiple items to cart.
2. Click 'Clear Cart' button (if available).</t>
  </si>
  <si>
    <t xml:space="preserve">Multiple cart items</t>
  </si>
  <si>
    <t xml:space="preserve">All items are cleared and cart status becomes empty.</t>
  </si>
  <si>
    <t xml:space="preserve">No dedicated 'Clear Cart' button found; user must remove items individually.</t>
  </si>
  <si>
    <t xml:space="preserve">Usability enhancement.</t>
  </si>
  <si>
    <t xml:space="preserve">BUG-010</t>
  </si>
  <si>
    <t xml:space="preserve">Checkout</t>
  </si>
  <si>
    <t xml:space="preserve">Checkout_12</t>
  </si>
  <si>
    <t xml:space="preserve">Checkout completes even when item stock is zeroed out concurrently</t>
  </si>
  <si>
    <t xml:space="preserve">1. Hold product in checkout.
2. Simulate item going out of stock in backend.
3. Click 'Confirm Order'.</t>
  </si>
  <si>
    <t xml:space="preserve">Out-of-stock trigger</t>
  </si>
  <si>
    <t xml:space="preserve">Error alert indicates item stock is no longer available.</t>
  </si>
  <si>
    <t xml:space="preserve">System allowed checkout completion despite item stock zeroing out.</t>
  </si>
  <si>
    <t xml:space="preserve">Critical</t>
  </si>
  <si>
    <t xml:space="preserve">Overselling risk — direct business/financial impact.</t>
  </si>
  <si>
    <t xml:space="preserve">BUG-011</t>
  </si>
  <si>
    <t xml:space="preserve">Checkout_18</t>
  </si>
  <si>
    <t xml:space="preserve">Invalid ZIP/postal code format accepted at Checkout</t>
  </si>
  <si>
    <t xml:space="preserve">1. Enter invalid ZIP code format for selected country.
2. Click 'Continue'.</t>
  </si>
  <si>
    <t xml:space="preserve">ZIP: 'ABC!!'</t>
  </si>
  <si>
    <t xml:space="preserve">Validation error regarding incorrect postal code format is shown.</t>
  </si>
  <si>
    <t xml:space="preserve">Invalid ZIP code accepted without format validation error.</t>
  </si>
  <si>
    <t xml:space="preserve">May cause downstream shipping/tax calculation errors.</t>
  </si>
  <si>
    <t xml:space="preserve">BUG-012</t>
  </si>
  <si>
    <t xml:space="preserve">User Interface</t>
  </si>
  <si>
    <t xml:space="preserve">UI_14</t>
  </si>
  <si>
    <t xml:space="preserve">Newsletter subscription popup modal does not display for new visitors</t>
  </si>
  <si>
    <t xml:space="preserve">1. Access homepage as new visitor.</t>
  </si>
  <si>
    <t xml:space="preserve">First-time session</t>
  </si>
  <si>
    <t xml:space="preserve">Promotional newsletter subscription modal displays over content.</t>
  </si>
  <si>
    <t xml:space="preserve">No newsletter popup modal appeared on initial homepage visit.</t>
  </si>
  <si>
    <t xml:space="preserve">Marketing feature gap; no functional impact.</t>
  </si>
  <si>
    <t xml:space="preserve">BUG-013</t>
  </si>
  <si>
    <t xml:space="preserve">UI_15</t>
  </si>
  <si>
    <t xml:space="preserve">Language switcher does not translate UI text</t>
  </si>
  <si>
    <t xml:space="preserve">1. Locate header language dropdown.
2. Switch language (e.g. English to Spanish).</t>
  </si>
  <si>
    <t xml:space="preserve">Language toggle</t>
  </si>
  <si>
    <t xml:space="preserve">UI text labels translate according to selected language.</t>
  </si>
  <si>
    <t xml:space="preserve">Language dropdown options failed to update UI text strings.</t>
  </si>
  <si>
    <t xml:space="preserve">Localization feature not functioning.</t>
  </si>
  <si>
    <t xml:space="preserve">BUG-014</t>
  </si>
  <si>
    <t xml:space="preserve">UI_16</t>
  </si>
  <si>
    <t xml:space="preserve">Dark / Light mode theme toggle not present in application</t>
  </si>
  <si>
    <t xml:space="preserve">1. Click theme toggle icon in header/footer.</t>
  </si>
  <si>
    <t xml:space="preserve">Theme switch icon</t>
  </si>
  <si>
    <t xml:space="preserve">Color scheme transforms seamlessly between Dark and Light mode.</t>
  </si>
  <si>
    <t xml:space="preserve">Dark/Light mode feature not present on application UI.</t>
  </si>
  <si>
    <t xml:space="preserve">N/A</t>
  </si>
  <si>
    <t xml:space="preserve">Blocked</t>
  </si>
  <si>
    <t xml:space="preserve">Feature not implemented; test case blocked, not a defect against existing functionality.</t>
  </si>
  <si>
    <t xml:space="preserve">DEFECT SUMMARY</t>
  </si>
  <si>
    <t xml:space="preserve">Total Defects Logged</t>
  </si>
  <si>
    <t xml:space="preserve">By Severity</t>
  </si>
  <si>
    <t xml:space="preserve">By Status</t>
  </si>
  <si>
    <t xml:space="preserve">Closed</t>
  </si>
  <si>
    <t xml:space="preserve">By Module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</si>
</sst>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7F6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8" min="7" style="0" width="30"/>
    <col collapsed="false" customWidth="true" hidden="false" outlineLevel="0" max="11" min="9" style="0" width="10"/>
    <col collapsed="false" customWidth="true" hidden="false" outlineLevel="0" max="12" min="12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57.45" hidden="false" customHeight="false" outlineLevel="0" collapsed="false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6" t="s">
        <v>22</v>
      </c>
      <c r="J5" s="5" t="s">
        <v>22</v>
      </c>
      <c r="K5" s="7" t="s">
        <v>23</v>
      </c>
      <c r="L5" s="5" t="s">
        <v>24</v>
      </c>
    </row>
    <row r="6" customFormat="false" ht="23.85" hidden="false" customHeight="false" outlineLevel="0" collapsed="false">
      <c r="A6" s="4" t="s">
        <v>25</v>
      </c>
      <c r="B6" s="5" t="s">
        <v>15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31</v>
      </c>
      <c r="I6" s="8" t="s">
        <v>32</v>
      </c>
      <c r="J6" s="5" t="s">
        <v>32</v>
      </c>
      <c r="K6" s="7" t="s">
        <v>23</v>
      </c>
      <c r="L6" s="5" t="s">
        <v>33</v>
      </c>
    </row>
    <row r="7" customFormat="false" ht="23.85" hidden="false" customHeight="false" outlineLevel="0" collapsed="false">
      <c r="A7" s="4" t="s">
        <v>34</v>
      </c>
      <c r="B7" s="5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9" t="s">
        <v>42</v>
      </c>
      <c r="J7" s="5" t="s">
        <v>42</v>
      </c>
      <c r="K7" s="7" t="s">
        <v>23</v>
      </c>
      <c r="L7" s="5" t="s">
        <v>43</v>
      </c>
    </row>
    <row r="8" customFormat="false" ht="46.25" hidden="false" customHeight="false" outlineLevel="0" collapsed="false">
      <c r="A8" s="4" t="s">
        <v>44</v>
      </c>
      <c r="B8" s="5" t="s">
        <v>35</v>
      </c>
      <c r="C8" s="5" t="s">
        <v>45</v>
      </c>
      <c r="D8" s="5" t="s">
        <v>46</v>
      </c>
      <c r="E8" s="5" t="s">
        <v>47</v>
      </c>
      <c r="F8" s="5" t="s">
        <v>48</v>
      </c>
      <c r="G8" s="5" t="s">
        <v>49</v>
      </c>
      <c r="H8" s="5" t="s">
        <v>50</v>
      </c>
      <c r="I8" s="6" t="s">
        <v>22</v>
      </c>
      <c r="J8" s="5" t="s">
        <v>22</v>
      </c>
      <c r="K8" s="7" t="s">
        <v>23</v>
      </c>
      <c r="L8" s="5" t="s">
        <v>51</v>
      </c>
    </row>
    <row r="9" customFormat="false" ht="35.05" hidden="false" customHeight="false" outlineLevel="0" collapsed="false">
      <c r="A9" s="4" t="s">
        <v>52</v>
      </c>
      <c r="B9" s="5" t="s">
        <v>35</v>
      </c>
      <c r="C9" s="5" t="s">
        <v>53</v>
      </c>
      <c r="D9" s="5" t="s">
        <v>54</v>
      </c>
      <c r="E9" s="5" t="s">
        <v>55</v>
      </c>
      <c r="F9" s="5" t="s">
        <v>56</v>
      </c>
      <c r="G9" s="5" t="s">
        <v>57</v>
      </c>
      <c r="H9" s="5" t="s">
        <v>58</v>
      </c>
      <c r="I9" s="9" t="s">
        <v>42</v>
      </c>
      <c r="J9" s="5" t="s">
        <v>42</v>
      </c>
      <c r="K9" s="7" t="s">
        <v>23</v>
      </c>
      <c r="L9" s="5" t="s">
        <v>59</v>
      </c>
    </row>
    <row r="10" customFormat="false" ht="23.85" hidden="false" customHeight="false" outlineLevel="0" collapsed="false">
      <c r="A10" s="4" t="s">
        <v>60</v>
      </c>
      <c r="B10" s="5" t="s">
        <v>61</v>
      </c>
      <c r="C10" s="5" t="s">
        <v>62</v>
      </c>
      <c r="D10" s="5" t="s">
        <v>63</v>
      </c>
      <c r="E10" s="5" t="s">
        <v>64</v>
      </c>
      <c r="F10" s="5" t="s">
        <v>65</v>
      </c>
      <c r="G10" s="5" t="s">
        <v>66</v>
      </c>
      <c r="H10" s="5" t="s">
        <v>67</v>
      </c>
      <c r="I10" s="8" t="s">
        <v>32</v>
      </c>
      <c r="J10" s="5" t="s">
        <v>32</v>
      </c>
      <c r="K10" s="7" t="s">
        <v>23</v>
      </c>
      <c r="L10" s="5" t="s">
        <v>68</v>
      </c>
    </row>
    <row r="11" customFormat="false" ht="23.85" hidden="false" customHeight="false" outlineLevel="0" collapsed="false">
      <c r="A11" s="4" t="s">
        <v>69</v>
      </c>
      <c r="B11" s="5" t="s">
        <v>61</v>
      </c>
      <c r="C11" s="5" t="s">
        <v>70</v>
      </c>
      <c r="D11" s="5" t="s">
        <v>71</v>
      </c>
      <c r="E11" s="5" t="s">
        <v>72</v>
      </c>
      <c r="F11" s="5" t="s">
        <v>73</v>
      </c>
      <c r="G11" s="5" t="s">
        <v>74</v>
      </c>
      <c r="H11" s="5" t="s">
        <v>75</v>
      </c>
      <c r="I11" s="8" t="s">
        <v>32</v>
      </c>
      <c r="J11" s="5" t="s">
        <v>32</v>
      </c>
      <c r="K11" s="7" t="s">
        <v>23</v>
      </c>
      <c r="L11" s="5" t="s">
        <v>76</v>
      </c>
    </row>
    <row r="12" customFormat="false" ht="23.85" hidden="false" customHeight="false" outlineLevel="0" collapsed="false">
      <c r="A12" s="4" t="s">
        <v>77</v>
      </c>
      <c r="B12" s="5" t="s">
        <v>78</v>
      </c>
      <c r="C12" s="5" t="s">
        <v>79</v>
      </c>
      <c r="D12" s="5" t="s">
        <v>80</v>
      </c>
      <c r="E12" s="5" t="s">
        <v>81</v>
      </c>
      <c r="F12" s="5" t="s">
        <v>82</v>
      </c>
      <c r="G12" s="5" t="s">
        <v>83</v>
      </c>
      <c r="H12" s="5" t="s">
        <v>84</v>
      </c>
      <c r="I12" s="9" t="s">
        <v>42</v>
      </c>
      <c r="J12" s="5" t="s">
        <v>42</v>
      </c>
      <c r="K12" s="7" t="s">
        <v>23</v>
      </c>
      <c r="L12" s="5" t="s">
        <v>85</v>
      </c>
    </row>
    <row r="13" customFormat="false" ht="35.05" hidden="false" customHeight="false" outlineLevel="0" collapsed="false">
      <c r="A13" s="4" t="s">
        <v>86</v>
      </c>
      <c r="B13" s="5" t="s">
        <v>78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91</v>
      </c>
      <c r="H13" s="5" t="s">
        <v>92</v>
      </c>
      <c r="I13" s="8" t="s">
        <v>32</v>
      </c>
      <c r="J13" s="5" t="s">
        <v>32</v>
      </c>
      <c r="K13" s="7" t="s">
        <v>23</v>
      </c>
      <c r="L13" s="5" t="s">
        <v>93</v>
      </c>
    </row>
    <row r="14" customFormat="false" ht="46.25" hidden="false" customHeight="false" outlineLevel="0" collapsed="false">
      <c r="A14" s="4" t="s">
        <v>94</v>
      </c>
      <c r="B14" s="5" t="s">
        <v>95</v>
      </c>
      <c r="C14" s="5" t="s">
        <v>96</v>
      </c>
      <c r="D14" s="5" t="s">
        <v>97</v>
      </c>
      <c r="E14" s="5" t="s">
        <v>98</v>
      </c>
      <c r="F14" s="5" t="s">
        <v>99</v>
      </c>
      <c r="G14" s="5" t="s">
        <v>100</v>
      </c>
      <c r="H14" s="5" t="s">
        <v>101</v>
      </c>
      <c r="I14" s="10" t="s">
        <v>102</v>
      </c>
      <c r="J14" s="5" t="s">
        <v>42</v>
      </c>
      <c r="K14" s="7" t="s">
        <v>23</v>
      </c>
      <c r="L14" s="5" t="s">
        <v>103</v>
      </c>
    </row>
    <row r="15" customFormat="false" ht="35.05" hidden="false" customHeight="false" outlineLevel="0" collapsed="false">
      <c r="A15" s="4" t="s">
        <v>104</v>
      </c>
      <c r="B15" s="5" t="s">
        <v>95</v>
      </c>
      <c r="C15" s="5" t="s">
        <v>105</v>
      </c>
      <c r="D15" s="5" t="s">
        <v>106</v>
      </c>
      <c r="E15" s="5" t="s">
        <v>107</v>
      </c>
      <c r="F15" s="5" t="s">
        <v>108</v>
      </c>
      <c r="G15" s="5" t="s">
        <v>109</v>
      </c>
      <c r="H15" s="5" t="s">
        <v>110</v>
      </c>
      <c r="I15" s="6" t="s">
        <v>22</v>
      </c>
      <c r="J15" s="5" t="s">
        <v>22</v>
      </c>
      <c r="K15" s="7" t="s">
        <v>23</v>
      </c>
      <c r="L15" s="5" t="s">
        <v>111</v>
      </c>
    </row>
    <row r="16" customFormat="false" ht="35.05" hidden="false" customHeight="false" outlineLevel="0" collapsed="false">
      <c r="A16" s="4" t="s">
        <v>112</v>
      </c>
      <c r="B16" s="5" t="s">
        <v>113</v>
      </c>
      <c r="C16" s="5" t="s">
        <v>114</v>
      </c>
      <c r="D16" s="5" t="s">
        <v>115</v>
      </c>
      <c r="E16" s="5" t="s">
        <v>116</v>
      </c>
      <c r="F16" s="5" t="s">
        <v>117</v>
      </c>
      <c r="G16" s="5" t="s">
        <v>118</v>
      </c>
      <c r="H16" s="5" t="s">
        <v>119</v>
      </c>
      <c r="I16" s="8" t="s">
        <v>32</v>
      </c>
      <c r="J16" s="5" t="s">
        <v>32</v>
      </c>
      <c r="K16" s="7" t="s">
        <v>23</v>
      </c>
      <c r="L16" s="5" t="s">
        <v>120</v>
      </c>
    </row>
    <row r="17" customFormat="false" ht="35.05" hidden="false" customHeight="false" outlineLevel="0" collapsed="false">
      <c r="A17" s="4" t="s">
        <v>121</v>
      </c>
      <c r="B17" s="5" t="s">
        <v>113</v>
      </c>
      <c r="C17" s="5" t="s">
        <v>122</v>
      </c>
      <c r="D17" s="5" t="s">
        <v>123</v>
      </c>
      <c r="E17" s="5" t="s">
        <v>124</v>
      </c>
      <c r="F17" s="5" t="s">
        <v>125</v>
      </c>
      <c r="G17" s="5" t="s">
        <v>126</v>
      </c>
      <c r="H17" s="5" t="s">
        <v>127</v>
      </c>
      <c r="I17" s="6" t="s">
        <v>22</v>
      </c>
      <c r="J17" s="5" t="s">
        <v>22</v>
      </c>
      <c r="K17" s="7" t="s">
        <v>23</v>
      </c>
      <c r="L17" s="5" t="s">
        <v>128</v>
      </c>
    </row>
    <row r="18" customFormat="false" ht="35.05" hidden="false" customHeight="false" outlineLevel="0" collapsed="false">
      <c r="A18" s="4" t="s">
        <v>129</v>
      </c>
      <c r="B18" s="5" t="s">
        <v>113</v>
      </c>
      <c r="C18" s="5" t="s">
        <v>130</v>
      </c>
      <c r="D18" s="5" t="s">
        <v>131</v>
      </c>
      <c r="E18" s="5" t="s">
        <v>132</v>
      </c>
      <c r="F18" s="5" t="s">
        <v>133</v>
      </c>
      <c r="G18" s="5" t="s">
        <v>134</v>
      </c>
      <c r="H18" s="5" t="s">
        <v>135</v>
      </c>
      <c r="I18" s="11" t="s">
        <v>136</v>
      </c>
      <c r="J18" s="5" t="s">
        <v>32</v>
      </c>
      <c r="K18" s="12" t="s">
        <v>137</v>
      </c>
      <c r="L18" s="5" t="s">
        <v>138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19.7" hidden="false" customHeight="false" outlineLevel="0" collapsed="false">
      <c r="A1" s="1" t="s">
        <v>139</v>
      </c>
      <c r="B1" s="1"/>
      <c r="C1" s="1"/>
      <c r="D1" s="1"/>
    </row>
    <row r="3" customFormat="false" ht="15" hidden="false" customHeight="false" outlineLevel="0" collapsed="false">
      <c r="A3" s="0" t="s">
        <v>140</v>
      </c>
      <c r="B3" s="0" t="n">
        <f aca="false">COUNTA('Bug Report'!A5:A18)</f>
        <v>14</v>
      </c>
    </row>
    <row r="5" customFormat="false" ht="15" hidden="false" customHeight="false" outlineLevel="0" collapsed="false">
      <c r="A5" s="13" t="s">
        <v>141</v>
      </c>
    </row>
    <row r="6" customFormat="false" ht="15" hidden="false" customHeight="false" outlineLevel="0" collapsed="false">
      <c r="A6" s="14" t="s">
        <v>102</v>
      </c>
      <c r="B6" s="15" t="n">
        <f aca="false">COUNTIF('Bug Report'!I5:I18,A6)</f>
        <v>1</v>
      </c>
    </row>
    <row r="7" customFormat="false" ht="15" hidden="false" customHeight="false" outlineLevel="0" collapsed="false">
      <c r="A7" s="16" t="s">
        <v>42</v>
      </c>
      <c r="B7" s="15" t="n">
        <f aca="false">COUNTIF('Bug Report'!I5:I18,A7)</f>
        <v>3</v>
      </c>
    </row>
    <row r="8" customFormat="false" ht="15" hidden="false" customHeight="false" outlineLevel="0" collapsed="false">
      <c r="A8" s="17" t="s">
        <v>22</v>
      </c>
      <c r="B8" s="15" t="n">
        <f aca="false">COUNTIF('Bug Report'!I5:I18,A8)</f>
        <v>4</v>
      </c>
    </row>
    <row r="9" customFormat="false" ht="15" hidden="false" customHeight="false" outlineLevel="0" collapsed="false">
      <c r="A9" s="18" t="s">
        <v>32</v>
      </c>
      <c r="B9" s="15" t="n">
        <f aca="false">COUNTIF('Bug Report'!I5:I18,A9)</f>
        <v>5</v>
      </c>
    </row>
    <row r="10" customFormat="false" ht="15" hidden="false" customHeight="false" outlineLevel="0" collapsed="false">
      <c r="A10" s="19" t="s">
        <v>136</v>
      </c>
      <c r="B10" s="15" t="n">
        <f aca="false">COUNTIF('Bug Report'!I5:I18,A10)</f>
        <v>1</v>
      </c>
    </row>
    <row r="12" customFormat="false" ht="15" hidden="false" customHeight="false" outlineLevel="0" collapsed="false">
      <c r="A12" s="13" t="s">
        <v>142</v>
      </c>
    </row>
    <row r="13" customFormat="false" ht="15" hidden="false" customHeight="false" outlineLevel="0" collapsed="false">
      <c r="A13" s="15" t="s">
        <v>23</v>
      </c>
      <c r="B13" s="15" t="n">
        <f aca="false">COUNTIF('Bug Report'!K5:K18,A13)</f>
        <v>13</v>
      </c>
    </row>
    <row r="14" customFormat="false" ht="15" hidden="false" customHeight="false" outlineLevel="0" collapsed="false">
      <c r="A14" s="15" t="s">
        <v>137</v>
      </c>
      <c r="B14" s="15" t="n">
        <f aca="false">COUNTIF('Bug Report'!K5:K18,A14)</f>
        <v>1</v>
      </c>
    </row>
    <row r="15" customFormat="false" ht="15" hidden="false" customHeight="false" outlineLevel="0" collapsed="false">
      <c r="A15" s="15" t="s">
        <v>143</v>
      </c>
      <c r="B15" s="15" t="n">
        <f aca="false">COUNTIF('Bug Report'!K5:K18,A15)</f>
        <v>0</v>
      </c>
    </row>
    <row r="17" customFormat="false" ht="15" hidden="false" customHeight="false" outlineLevel="0" collapsed="false">
      <c r="A17" s="13" t="s">
        <v>144</v>
      </c>
    </row>
    <row r="18" customFormat="false" ht="15" hidden="false" customHeight="false" outlineLevel="0" collapsed="false">
      <c r="A18" s="15" t="s">
        <v>15</v>
      </c>
      <c r="B18" s="15" t="n">
        <f aca="false">COUNTIF('Bug Report'!B5:B18,A18)</f>
        <v>2</v>
      </c>
    </row>
    <row r="19" customFormat="false" ht="15" hidden="false" customHeight="false" outlineLevel="0" collapsed="false">
      <c r="A19" s="15" t="s">
        <v>35</v>
      </c>
      <c r="B19" s="15" t="n">
        <f aca="false">COUNTIF('Bug Report'!B5:B18,A19)</f>
        <v>3</v>
      </c>
    </row>
    <row r="20" customFormat="false" ht="15" hidden="false" customHeight="false" outlineLevel="0" collapsed="false">
      <c r="A20" s="15" t="s">
        <v>61</v>
      </c>
      <c r="B20" s="15" t="n">
        <f aca="false">COUNTIF('Bug Report'!B5:B18,A20)</f>
        <v>2</v>
      </c>
    </row>
    <row r="21" customFormat="false" ht="15" hidden="false" customHeight="false" outlineLevel="0" collapsed="false">
      <c r="A21" s="15" t="s">
        <v>78</v>
      </c>
      <c r="B21" s="15" t="n">
        <f aca="false">COUNTIF('Bug Report'!B5:B18,A21)</f>
        <v>2</v>
      </c>
    </row>
    <row r="22" customFormat="false" ht="15" hidden="false" customHeight="false" outlineLevel="0" collapsed="false">
      <c r="A22" s="15" t="s">
        <v>95</v>
      </c>
      <c r="B22" s="15" t="n">
        <f aca="false">COUNTIF('Bug Report'!B5:B18,A22)</f>
        <v>2</v>
      </c>
    </row>
    <row r="23" customFormat="false" ht="15" hidden="false" customHeight="false" outlineLevel="0" collapsed="false">
      <c r="A23" s="15" t="s">
        <v>113</v>
      </c>
      <c r="B23" s="15" t="n">
        <f aca="false">COUNTIF('Bug Report'!B5:B18,A23)</f>
        <v>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2026-09-25T02:30:01Z</dcterms:created>
  <dc:creator>openpyxl</dc:creator>
  <dc:description/>
  <dc:language>en-US</dc:language>
  <cp:lastModifiedBy/>
  <dcterms:modified xsi:type="dcterms:W3CDTF">2026-09-25T02:30:01Z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